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Pipeline Dashboard" sheetId="1" state="visible" r:id="rId3"/>
    <sheet name="Web Development Dashboard" sheetId="2" state="visible" r:id="rId4"/>
    <sheet name="Cinematic Videos Dashboard" sheetId="3" state="visible" r:id="rId5"/>
    <sheet name="Master Leads" sheetId="4" state="visible" r:id="rId6"/>
    <sheet name="Activities" sheetId="5" state="visible" r:id="rId7"/>
    <sheet name="Lists" sheetId="6" state="hidden" r:id="rId8"/>
  </sheets>
  <definedNames>
    <definedName function="false" hidden="true" localSheetId="4" name="_xlnm._FilterDatabase" vbProcedure="false">Activities!$A$1:$L$201</definedName>
    <definedName function="false" hidden="true" localSheetId="3" name="_xlnm._FilterDatabase" vbProcedure="false">'Master Leads'!$A$1:$AG$201</definedName>
    <definedName function="false" hidden="false" name="ActivityTypeList" vbProcedure="false">Lists!$G$2:$G$13</definedName>
    <definedName function="false" hidden="false" name="LeadTierList" vbProcedure="false">Lists!$B$2:$B$4</definedName>
    <definedName function="false" hidden="false" name="PaymentStatusList" vbProcedure="false">Lists!$I$2:$I$6</definedName>
    <definedName function="false" hidden="false" name="PipelineStageList" vbProcedure="false">Lists!$E$2:$E$15</definedName>
    <definedName function="false" hidden="false" name="PreviewStatusList" vbProcedure="false">Lists!$D$2:$D$8</definedName>
    <definedName function="false" hidden="false" name="PreviewTypeList" vbProcedure="false">Lists!$C$2:$C$7</definedName>
    <definedName function="false" hidden="false" name="VentureFilterList" vbProcedure="false">Lists!$H$2:$H$4</definedName>
    <definedName function="false" hidden="false" name="VentureList" vbProcedure="false">Lists!$A$2:$A$3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<sst xmlns="http://schemas.openxmlformats.org/spreadsheetml/2006/main" count="249" uniqueCount="195">
  <si>
    <t xml:space="preserve">Master Pipeline Dashboard</t>
  </si>
  <si>
    <t xml:space="preserve">Combined operations view for Web Development + Cinematic Videos — Cashflow Ventures</t>
  </si>
  <si>
    <t xml:space="preserve">Venture Filter (KPI cards below):</t>
  </si>
  <si>
    <t xml:space="preserve">All</t>
  </si>
  <si>
    <t xml:space="preserve">Venture criteria (helper):</t>
  </si>
  <si>
    <t xml:space="preserve">Combined Monthly Revenue Goal:</t>
  </si>
  <si>
    <t xml:space="preserve">Key Performance Indicators (filtered by Venture Filter above)</t>
  </si>
  <si>
    <t xml:space="preserve">Total leads</t>
  </si>
  <si>
    <t xml:space="preserve">New leads this month</t>
  </si>
  <si>
    <t xml:space="preserve">Prospects contacted</t>
  </si>
  <si>
    <t xml:space="preserve">Follow-ups sent</t>
  </si>
  <si>
    <t xml:space="preserve">Positive replies</t>
  </si>
  <si>
    <t xml:space="preserve">Qualified leads</t>
  </si>
  <si>
    <t xml:space="preserve">Calls booked</t>
  </si>
  <si>
    <t xml:space="preserve">Previews created</t>
  </si>
  <si>
    <t xml:space="preserve">Previews sent</t>
  </si>
  <si>
    <t xml:space="preserve">Proposals sent</t>
  </si>
  <si>
    <t xml:space="preserve">Deals won</t>
  </si>
  <si>
    <t xml:space="preserve">Deals lost</t>
  </si>
  <si>
    <t xml:space="preserve">Total pipeline value (open deals)</t>
  </si>
  <si>
    <t xml:space="preserve">Weighted pipeline</t>
  </si>
  <si>
    <t xml:space="preserve">Contracted revenue (Won deals)</t>
  </si>
  <si>
    <t xml:space="preserve">Cash collected (sync weekly from Payment Tracker)</t>
  </si>
  <si>
    <t xml:space="preserve">Average deal value</t>
  </si>
  <si>
    <t xml:space="preserve">Reply rate</t>
  </si>
  <si>
    <t xml:space="preserve">Call-booking rate</t>
  </si>
  <si>
    <t xml:space="preserve">Proposal conversion rate</t>
  </si>
  <si>
    <t xml:space="preserve">Close rate</t>
  </si>
  <si>
    <t xml:space="preserve">Progress toward combined monthly revenue goal</t>
  </si>
  <si>
    <t xml:space="preserve">Venture Breakdown</t>
  </si>
  <si>
    <t xml:space="preserve">Metric</t>
  </si>
  <si>
    <t xml:space="preserve">Web Development</t>
  </si>
  <si>
    <t xml:space="preserve">Cinematic Videos</t>
  </si>
  <si>
    <t xml:space="preserve">Combined</t>
  </si>
  <si>
    <t xml:space="preserve">Leads</t>
  </si>
  <si>
    <t xml:space="preserve">Outreach (contacted)</t>
  </si>
  <si>
    <t xml:space="preserve">Calls</t>
  </si>
  <si>
    <t xml:space="preserve">Proposals</t>
  </si>
  <si>
    <t xml:space="preserve">Pipeline value</t>
  </si>
  <si>
    <t xml:space="preserve">Contracted revenue</t>
  </si>
  <si>
    <t xml:space="preserve">Cash collected</t>
  </si>
  <si>
    <t xml:space="preserve">Note: 'Cash collected' cells (yellow) are the only manual inputs on this tab — update them weekly from the Payment Tracker's Totals. Every other figure recalculates automatically from Master Leads / Activities.</t>
  </si>
  <si>
    <t xml:space="preserve">Web Development Dashboard</t>
  </si>
  <si>
    <t xml:space="preserve">Venture-locked view — always filtered to Web Development</t>
  </si>
  <si>
    <t xml:space="preserve">Targets &amp; Pricing (edit the yellow cells)</t>
  </si>
  <si>
    <t xml:space="preserve">Target contracted revenue</t>
  </si>
  <si>
    <t xml:space="preserve">Target websites sold</t>
  </si>
  <si>
    <t xml:space="preserve">Standard website price</t>
  </si>
  <si>
    <t xml:space="preserve">Launch-partner website price</t>
  </si>
  <si>
    <t xml:space="preserve">Managed Hosting &amp; Analytics (monthly)</t>
  </si>
  <si>
    <t xml:space="preserve">Pipeline &amp; Activity Metrics</t>
  </si>
  <si>
    <t xml:space="preserve">Leads contacted</t>
  </si>
  <si>
    <t xml:space="preserve">Websites sold (Won)</t>
  </si>
  <si>
    <t xml:space="preserve">Websites launched  (manual — tick off in 04_Client_Delivery/Completed)</t>
  </si>
  <si>
    <t xml:space="preserve">Hosting subscriptions started  (manual)</t>
  </si>
  <si>
    <t xml:space="preserve">Web Development pipeline (open deal value)</t>
  </si>
  <si>
    <t xml:space="preserve">Cash collected  (sync weekly from Payment Tracker)</t>
  </si>
  <si>
    <t xml:space="preserve">Progress against monthly revenue target</t>
  </si>
  <si>
    <t xml:space="preserve">Progress against target websites sold</t>
  </si>
  <si>
    <t xml:space="preserve">Cinematic Videos Dashboard</t>
  </si>
  <si>
    <t xml:space="preserve">Venture-locked view — always filtered to Cinematic Videos</t>
  </si>
  <si>
    <t xml:space="preserve">Target deals</t>
  </si>
  <si>
    <t xml:space="preserve">Target average ticket</t>
  </si>
  <si>
    <t xml:space="preserve">Video projects sold (Won)</t>
  </si>
  <si>
    <t xml:space="preserve">Video projects delivered  (manual — tick off in 04_Client_Delivery/Completed)</t>
  </si>
  <si>
    <t xml:space="preserve">Cinematic Videos pipeline (open deal value)</t>
  </si>
  <si>
    <t xml:space="preserve">Progress against target deals</t>
  </si>
  <si>
    <t xml:space="preserve">Lead ID</t>
  </si>
  <si>
    <t xml:space="preserve">Venture</t>
  </si>
  <si>
    <t xml:space="preserve">Date Added</t>
  </si>
  <si>
    <t xml:space="preserve">Business Name</t>
  </si>
  <si>
    <t xml:space="preserve">Business Type</t>
  </si>
  <si>
    <t xml:space="preserve">Vertical</t>
  </si>
  <si>
    <t xml:space="preserve">Geography</t>
  </si>
  <si>
    <t xml:space="preserve">Website URL</t>
  </si>
  <si>
    <t xml:space="preserve">Contact Name</t>
  </si>
  <si>
    <t xml:space="preserve">Contact Role</t>
  </si>
  <si>
    <t xml:space="preserve">Email</t>
  </si>
  <si>
    <t xml:space="preserve">Phone</t>
  </si>
  <si>
    <t xml:space="preserve">WhatsApp</t>
  </si>
  <si>
    <t xml:space="preserve">Instagram</t>
  </si>
  <si>
    <t xml:space="preserve">LinkedIn</t>
  </si>
  <si>
    <t xml:space="preserve">Lead Source</t>
  </si>
  <si>
    <t xml:space="preserve">Current Website or Marketing Problem</t>
  </si>
  <si>
    <t xml:space="preserve">Proposed Service</t>
  </si>
  <si>
    <t xml:space="preserve">Lead Tier</t>
  </si>
  <si>
    <t xml:space="preserve">Preview Type</t>
  </si>
  <si>
    <t xml:space="preserve">Preview Status</t>
  </si>
  <si>
    <t xml:space="preserve">First Outreach Date</t>
  </si>
  <si>
    <t xml:space="preserve">Last Contact Date</t>
  </si>
  <si>
    <t xml:space="preserve">Follow-Up Date</t>
  </si>
  <si>
    <t xml:space="preserve">Pipeline Stage</t>
  </si>
  <si>
    <t xml:space="preserve">Estimated Deal Value</t>
  </si>
  <si>
    <t xml:space="preserve">Probability</t>
  </si>
  <si>
    <t xml:space="preserve">Weighted Pipeline</t>
  </si>
  <si>
    <t xml:space="preserve">Expected Close Date</t>
  </si>
  <si>
    <t xml:space="preserve">Next Action</t>
  </si>
  <si>
    <t xml:space="preserve">Next Action Date</t>
  </si>
  <si>
    <t xml:space="preserve">Lost Reason</t>
  </si>
  <si>
    <t xml:space="preserve">Notes</t>
  </si>
  <si>
    <t xml:space="preserve">LEAD-001</t>
  </si>
  <si>
    <t xml:space="preserve">Example: Riverside Family Dental</t>
  </si>
  <si>
    <t xml:space="preserve">Dental Clinic</t>
  </si>
  <si>
    <t xml:space="preserve">Healthcare / Local Service</t>
  </si>
  <si>
    <t xml:space="preserve">Austin, TX</t>
  </si>
  <si>
    <t xml:space="preserve">www.example-riversidedental.com</t>
  </si>
  <si>
    <t xml:space="preserve">Dana Whitfield</t>
  </si>
  <si>
    <t xml:space="preserve">Practice Manager</t>
  </si>
  <si>
    <t xml:space="preserve">dana@example-riversidedental.com</t>
  </si>
  <si>
    <t xml:space="preserve">+1-512-555-0114</t>
  </si>
  <si>
    <t xml:space="preserve">@riversidedental_example</t>
  </si>
  <si>
    <t xml:space="preserve">linkedin.com/in/example-dana</t>
  </si>
  <si>
    <t xml:space="preserve">Cold Email</t>
  </si>
  <si>
    <t xml:space="preserve">Outdated 2014 site, not mobile-friendly, no online booking</t>
  </si>
  <si>
    <t xml:space="preserve">New 5-page responsive website + booking link</t>
  </si>
  <si>
    <t xml:space="preserve">A</t>
  </si>
  <si>
    <t xml:space="preserve">Website Homepage</t>
  </si>
  <si>
    <t xml:space="preserve">Sent</t>
  </si>
  <si>
    <t xml:space="preserve">Proposal Sent</t>
  </si>
  <si>
    <t xml:space="preserve">Follow up after proposal review call</t>
  </si>
  <si>
    <t xml:space="preserve">Fictional example row — safe to delete.</t>
  </si>
  <si>
    <t xml:space="preserve">LEAD-002</t>
  </si>
  <si>
    <t xml:space="preserve">Example: Bluestone Realty Group</t>
  </si>
  <si>
    <t xml:space="preserve">Real Estate Brokerage</t>
  </si>
  <si>
    <t xml:space="preserve">Real Estate</t>
  </si>
  <si>
    <t xml:space="preserve">Scottsdale, AZ</t>
  </si>
  <si>
    <t xml:space="preserve">www.example-bluestonerealty.com</t>
  </si>
  <si>
    <t xml:space="preserve">Marcus Ojeda</t>
  </si>
  <si>
    <t xml:space="preserve">Listing Agent</t>
  </si>
  <si>
    <t xml:space="preserve">marcus@example-bluestonerealty.com</t>
  </si>
  <si>
    <t xml:space="preserve">+1-480-555-0177</t>
  </si>
  <si>
    <t xml:space="preserve">@bluestonerealty_example</t>
  </si>
  <si>
    <t xml:space="preserve">linkedin.com/in/example-marcus</t>
  </si>
  <si>
    <t xml:space="preserve">Instagram DM</t>
  </si>
  <si>
    <t xml:space="preserve">Listing photos only, no cinematic video for $2M+ listings</t>
  </si>
  <si>
    <t xml:space="preserve">Cinematic property film for flagship listing</t>
  </si>
  <si>
    <t xml:space="preserve">Cinematic Property Film</t>
  </si>
  <si>
    <t xml:space="preserve">Feedback Received</t>
  </si>
  <si>
    <t xml:space="preserve">Verbal Yes</t>
  </si>
  <si>
    <t xml:space="preserve">Send contract + deposit invoice</t>
  </si>
  <si>
    <t xml:space="preserve">Activity ID</t>
  </si>
  <si>
    <t xml:space="preserve">Date</t>
  </si>
  <si>
    <t xml:space="preserve">Activity Type</t>
  </si>
  <si>
    <t xml:space="preserve">Outcome</t>
  </si>
  <si>
    <t xml:space="preserve">Completed By</t>
  </si>
  <si>
    <t xml:space="preserve">ACT-001</t>
  </si>
  <si>
    <t xml:space="preserve">Emailed website proposal PROP-001 with homepage preview link.</t>
  </si>
  <si>
    <t xml:space="preserve">Awaiting review</t>
  </si>
  <si>
    <t xml:space="preserve">Call to walk through proposal</t>
  </si>
  <si>
    <t xml:space="preserve">You</t>
  </si>
  <si>
    <t xml:space="preserve">ACT-002</t>
  </si>
  <si>
    <t xml:space="preserve">Preview Sent</t>
  </si>
  <si>
    <t xml:space="preserve">Sent 45s cinematic preview cut of flagship listing via WeTransfer.</t>
  </si>
  <si>
    <t xml:space="preserve">Loved the preview</t>
  </si>
  <si>
    <t xml:space="preserve">Send full proposal + contract</t>
  </si>
  <si>
    <t xml:space="preserve">LeadTier</t>
  </si>
  <si>
    <t xml:space="preserve">PreviewType</t>
  </si>
  <si>
    <t xml:space="preserve">PreviewStatus</t>
  </si>
  <si>
    <t xml:space="preserve">PipelineStage</t>
  </si>
  <si>
    <t xml:space="preserve">ActivityType</t>
  </si>
  <si>
    <t xml:space="preserve">VentureFilter</t>
  </si>
  <si>
    <t xml:space="preserve">PaymentStatus</t>
  </si>
  <si>
    <t xml:space="preserve">Not Required</t>
  </si>
  <si>
    <t xml:space="preserve">Identified</t>
  </si>
  <si>
    <t xml:space="preserve">Not Invoiced</t>
  </si>
  <si>
    <t xml:space="preserve">B</t>
  </si>
  <si>
    <t xml:space="preserve">Website Audit</t>
  </si>
  <si>
    <t xml:space="preserve">To Create</t>
  </si>
  <si>
    <t xml:space="preserve">Contacted</t>
  </si>
  <si>
    <t xml:space="preserve">Follow-Up Email</t>
  </si>
  <si>
    <t xml:space="preserve">Invoiced</t>
  </si>
  <si>
    <t xml:space="preserve">C</t>
  </si>
  <si>
    <t xml:space="preserve">In Progress</t>
  </si>
  <si>
    <t xml:space="preserve">Follow-Up</t>
  </si>
  <si>
    <t xml:space="preserve">Call</t>
  </si>
  <si>
    <t xml:space="preserve">Paid</t>
  </si>
  <si>
    <t xml:space="preserve">Cinematic Location Film</t>
  </si>
  <si>
    <t xml:space="preserve">Ready</t>
  </si>
  <si>
    <t xml:space="preserve">Replied</t>
  </si>
  <si>
    <t xml:space="preserve">Overdue</t>
  </si>
  <si>
    <t xml:space="preserve">Before-and-After Concept</t>
  </si>
  <si>
    <t xml:space="preserve">Qualified</t>
  </si>
  <si>
    <t xml:space="preserve">Waived</t>
  </si>
  <si>
    <t xml:space="preserve">None</t>
  </si>
  <si>
    <t xml:space="preserve">Viewed</t>
  </si>
  <si>
    <t xml:space="preserve">Call Booked</t>
  </si>
  <si>
    <t xml:space="preserve">Preview Created</t>
  </si>
  <si>
    <t xml:space="preserve">Deposit Invoiced</t>
  </si>
  <si>
    <t xml:space="preserve">Payment Reminder</t>
  </si>
  <si>
    <t xml:space="preserve">Deposit Paid</t>
  </si>
  <si>
    <t xml:space="preserve">Client Meeting</t>
  </si>
  <si>
    <t xml:space="preserve">Won</t>
  </si>
  <si>
    <t xml:space="preserve">Other</t>
  </si>
  <si>
    <t xml:space="preserve">Lost</t>
  </si>
  <si>
    <t xml:space="preserve">Nurture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</si>
</sst>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#,##0"/>
    <numFmt numFmtId="167" formatCode="0.0%"/>
    <numFmt numFmtId="168" formatCode="yyyy\-mm\-dd"/>
    <numFmt numFmtId="169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2E5395"/>
      </patternFill>
    </fill>
    <fill>
      <patternFill patternType="solid">
        <fgColor rgb="FFFFF2CC"/>
        <bgColor rgb="FFFCE4D6"/>
      </patternFill>
    </fill>
    <fill>
      <patternFill patternType="solid">
        <fgColor rgb="FFD9E2F3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CE4B4"/>
          <bgColor rgb="FF000000"/>
        </patternFill>
      </fill>
    </dxf>
    <dxf>
      <fill>
        <patternFill>
          <bgColor rgb="FFC6E0B4"/>
        </patternFill>
      </fill>
    </dxf>
    <dxf>
      <fill>
        <patternFill>
          <bgColor rgb="FFF8CBCB"/>
        </patternFill>
      </fill>
    </dxf>
    <dxf>
      <fill>
        <patternFill>
          <bgColor rgb="FFFCE4B4"/>
        </patternFill>
      </fill>
    </dxf>
    <dxf>
      <fill>
        <patternFill>
          <bgColor rgb="FFDCE6F1"/>
        </patternFill>
      </fill>
    </dxf>
    <dxf>
      <fill>
        <patternFill>
          <bgColor rgb="FFFCE4D6"/>
        </patternFill>
      </fill>
    </dxf>
    <dxf>
      <fill>
        <patternFill patternType="solid">
          <fgColor rgb="FFF8CBC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2CC"/>
      <rgbColor rgb="FFDCE6F1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0B4"/>
      <rgbColor rgb="FFFCE4B4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4" t="s">
        <v>3</v>
      </c>
      <c r="D4" s="5" t="s">
        <v>4</v>
      </c>
      <c r="E4" s="5" t="str">
        <f aca="false">IF(B4="All","*",B4)</f>
        <v>*</v>
      </c>
    </row>
    <row r="5" customFormat="false" ht="15" hidden="false" customHeight="false" outlineLevel="0" collapsed="false">
      <c r="A5" s="3" t="s">
        <v>5</v>
      </c>
      <c r="B5" s="6" t="n">
        <f aca="false">'Web Development Dashboard'!$B$5+'Cinematic Videos Dashboard'!$B$5</f>
        <v>8500</v>
      </c>
    </row>
    <row r="7" customFormat="false" ht="19.5" hidden="false" customHeight="true" outlineLevel="0" collapsed="false">
      <c r="A7" s="7" t="s">
        <v>6</v>
      </c>
      <c r="B7" s="7"/>
    </row>
    <row r="8" customFormat="false" ht="15" hidden="false" customHeight="false" outlineLevel="0" collapsed="false">
      <c r="A8" s="8" t="s">
        <v>7</v>
      </c>
      <c r="B8" s="9" t="n">
        <f aca="false">COUNTIFS('Master Leads'!$B$2:$B$201,$E$4)</f>
        <v>2</v>
      </c>
    </row>
    <row r="9" customFormat="false" ht="15" hidden="false" customHeight="false" outlineLevel="0" collapsed="false">
      <c r="A9" s="8" t="s">
        <v>8</v>
      </c>
      <c r="B9" s="9" t="n">
        <f aca="true">COUNTIFS('Master Leads'!$B$2:$B$201,$E$4,'Master Leads'!$C$2:$C$201,"&gt;="&amp;EOMONTH(TODAY(),-1)+1,'Master Leads'!$C$2:$C$201,"&lt;="&amp;EOMONTH(TODAY(),0))</f>
        <v>0</v>
      </c>
    </row>
    <row r="10" customFormat="false" ht="15" hidden="false" customHeight="false" outlineLevel="0" collapsed="false">
      <c r="A10" s="8" t="s">
        <v>9</v>
      </c>
      <c r="B10" s="9" t="n">
        <f aca="false">COUNTIFS('Master Leads'!$B$2:$B$201,$E$4,'Master Leads'!$V$2:$V$201,"&lt;&gt;")</f>
        <v>2</v>
      </c>
    </row>
    <row r="11" customFormat="false" ht="15" hidden="false" customHeight="false" outlineLevel="0" collapsed="false">
      <c r="A11" s="8" t="s">
        <v>10</v>
      </c>
      <c r="B11" s="9" t="n">
        <f aca="false">COUNTIFS(Activities!$D$2:$D$201,$E$4,Activities!$G$2:$G$201,"Follow-Up Email")</f>
        <v>0</v>
      </c>
    </row>
    <row r="12" customFormat="false" ht="15" hidden="false" customHeight="false" outlineLevel="0" collapsed="false">
      <c r="A12" s="8" t="s">
        <v>11</v>
      </c>
      <c r="B12" s="9" t="n">
        <f aca="false">SUMPRODUCT(((($B$4="All")+('Master Leads'!$B$2:$B$201=$B$4))&gt;0)*(ISNUMBER(MATCH('Master Leads'!$Y$2:$Y$201,{"Replied","Qualified","Preview Sent","Call Booked","Proposal Sent","Verbal Yes","Deposit Invoiced","Deposit Paid","Won"},0))))</f>
        <v>2</v>
      </c>
    </row>
    <row r="13" customFormat="false" ht="15" hidden="false" customHeight="false" outlineLevel="0" collapsed="false">
      <c r="A13" s="8" t="s">
        <v>12</v>
      </c>
      <c r="B13" s="9" t="n">
        <f aca="false">SUMPRODUCT(((($B$4="All")+('Master Leads'!$B$2:$B$201=$B$4))&gt;0)*(ISNUMBER(MATCH('Master Leads'!$Y$2:$Y$201,{"Qualified","Preview Sent","Call Booked","Proposal Sent","Verbal Yes","Deposit Invoiced","Deposit Paid","Won"},0))))</f>
        <v>2</v>
      </c>
    </row>
    <row r="14" customFormat="false" ht="15" hidden="false" customHeight="false" outlineLevel="0" collapsed="false">
      <c r="A14" s="8" t="s">
        <v>13</v>
      </c>
      <c r="B14" s="9" t="n">
        <f aca="false">SUMPRODUCT(((($B$4="All")+('Master Leads'!$B$2:$B$201=$B$4))&gt;0)*(ISNUMBER(MATCH('Master Leads'!$Y$2:$Y$201,{"Call Booked","Proposal Sent","Verbal Yes","Deposit Invoiced","Deposit Paid","Won"},0))))</f>
        <v>2</v>
      </c>
    </row>
    <row r="15" customFormat="false" ht="15" hidden="false" customHeight="false" outlineLevel="0" collapsed="false">
      <c r="A15" s="8" t="s">
        <v>14</v>
      </c>
      <c r="B15" s="9" t="n">
        <f aca="false">SUMPRODUCT(((($B$4="All")+('Master Leads'!$B$2:$B$201=$B$4))&gt;0)*(ISNUMBER(MATCH('Master Leads'!$U$2:$U$201,{"Ready","Sent","Viewed","Feedback Received"},0))))</f>
        <v>2</v>
      </c>
    </row>
    <row r="16" customFormat="false" ht="15" hidden="false" customHeight="false" outlineLevel="0" collapsed="false">
      <c r="A16" s="8" t="s">
        <v>15</v>
      </c>
      <c r="B16" s="9" t="n">
        <f aca="false">SUMPRODUCT(((($B$4="All")+('Master Leads'!$B$2:$B$201=$B$4))&gt;0)*(ISNUMBER(MATCH('Master Leads'!$U$2:$U$201,{"Sent","Viewed","Feedback Received"},0))))</f>
        <v>2</v>
      </c>
    </row>
    <row r="17" customFormat="false" ht="15" hidden="false" customHeight="false" outlineLevel="0" collapsed="false">
      <c r="A17" s="8" t="s">
        <v>16</v>
      </c>
      <c r="B17" s="9" t="n">
        <f aca="false">SUMPRODUCT(((($B$4="All")+('Master Leads'!$B$2:$B$201=$B$4))&gt;0)*(ISNUMBER(MATCH('Master Leads'!$Y$2:$Y$201,{"Proposal Sent","Verbal Yes","Deposit Invoiced","Deposit Paid","Won"},0))))</f>
        <v>2</v>
      </c>
    </row>
    <row r="18" customFormat="false" ht="15" hidden="false" customHeight="false" outlineLevel="0" collapsed="false">
      <c r="A18" s="8" t="s">
        <v>17</v>
      </c>
      <c r="B18" s="9" t="n">
        <f aca="false">COUNTIFS('Master Leads'!$B$2:$B$201,$E$4,'Master Leads'!$Y$2:$Y$201,"Won")</f>
        <v>0</v>
      </c>
    </row>
    <row r="19" customFormat="false" ht="15" hidden="false" customHeight="false" outlineLevel="0" collapsed="false">
      <c r="A19" s="8" t="s">
        <v>18</v>
      </c>
      <c r="B19" s="9" t="n">
        <f aca="false">COUNTIFS('Master Leads'!$B$2:$B$201,$E$4,'Master Leads'!$Y$2:$Y$201,"Lost")</f>
        <v>0</v>
      </c>
    </row>
    <row r="20" customFormat="false" ht="15" hidden="false" customHeight="false" outlineLevel="0" collapsed="false">
      <c r="A20" s="8" t="s">
        <v>19</v>
      </c>
      <c r="B20" s="10" t="n">
        <f aca="false">SUMIFS('Master Leads'!$Z$2:$Z$201,'Master Leads'!$B$2:$B$201,$E$4,'Master Leads'!$Y$2:$Y$201,"&lt;&gt;Won",'Master Leads'!$Y$2:$Y$201,"&lt;&gt;Lost")</f>
        <v>3000</v>
      </c>
    </row>
    <row r="21" customFormat="false" ht="15" hidden="false" customHeight="false" outlineLevel="0" collapsed="false">
      <c r="A21" s="8" t="s">
        <v>20</v>
      </c>
      <c r="B21" s="10" t="n">
        <f aca="false">SUMIFS('Master Leads'!$AB$2:$AB$201,'Master Leads'!$B$2:$B$201,$E$4,'Master Leads'!$Y$2:$Y$201,"&lt;&gt;Won",'Master Leads'!$Y$2:$Y$201,"&lt;&gt;Lost")</f>
        <v>1950</v>
      </c>
    </row>
    <row r="22" customFormat="false" ht="15" hidden="false" customHeight="false" outlineLevel="0" collapsed="false">
      <c r="A22" s="8" t="s">
        <v>21</v>
      </c>
      <c r="B22" s="10" t="n">
        <f aca="false">SUMIFS('Master Leads'!$Z$2:$Z$201,'Master Leads'!$B$2:$B$201,$E$4,'Master Leads'!$Y$2:$Y$201,"Won")</f>
        <v>0</v>
      </c>
    </row>
    <row r="23" customFormat="false" ht="15" hidden="false" customHeight="false" outlineLevel="0" collapsed="false">
      <c r="A23" s="11" t="s">
        <v>22</v>
      </c>
      <c r="B23" s="6" t="n">
        <f aca="false">B41+C41</f>
        <v>0</v>
      </c>
    </row>
    <row r="24" customFormat="false" ht="15" hidden="false" customHeight="false" outlineLevel="0" collapsed="false">
      <c r="A24" s="8" t="s">
        <v>23</v>
      </c>
      <c r="B24" s="10" t="n">
        <f aca="false">IFERROR($B$22/COUNTIFS('Master Leads'!$B$2:$B$201,$E$4,'Master Leads'!$Y$2:$Y$201,"Won"),0)</f>
        <v>0</v>
      </c>
    </row>
    <row r="25" customFormat="false" ht="15" hidden="false" customHeight="false" outlineLevel="0" collapsed="false">
      <c r="A25" s="8" t="s">
        <v>24</v>
      </c>
      <c r="B25" s="12" t="n">
        <f aca="false">IFERROR($B$12/$B$10,0)</f>
        <v>1</v>
      </c>
    </row>
    <row r="26" customFormat="false" ht="15" hidden="false" customHeight="false" outlineLevel="0" collapsed="false">
      <c r="A26" s="8" t="s">
        <v>25</v>
      </c>
      <c r="B26" s="12" t="n">
        <f aca="false">IFERROR($B$14/$B$10,0)</f>
        <v>1</v>
      </c>
    </row>
    <row r="27" customFormat="false" ht="15" hidden="false" customHeight="false" outlineLevel="0" collapsed="false">
      <c r="A27" s="8" t="s">
        <v>26</v>
      </c>
      <c r="B27" s="12" t="n">
        <f aca="false">IFERROR($B$17/$B$14,0)</f>
        <v>1</v>
      </c>
    </row>
    <row r="28" customFormat="false" ht="15" hidden="false" customHeight="false" outlineLevel="0" collapsed="false">
      <c r="A28" s="8" t="s">
        <v>27</v>
      </c>
      <c r="B28" s="12" t="n">
        <f aca="false">IFERROR($B$18/$B$17,0)</f>
        <v>0</v>
      </c>
    </row>
    <row r="29" customFormat="false" ht="15" hidden="false" customHeight="false" outlineLevel="0" collapsed="false">
      <c r="A29" s="8" t="s">
        <v>28</v>
      </c>
      <c r="B29" s="12" t="n">
        <f aca="false">IFERROR($B$22/$B$5,0)</f>
        <v>0</v>
      </c>
    </row>
    <row r="31" customFormat="false" ht="19.5" hidden="false" customHeight="true" outlineLevel="0" collapsed="false">
      <c r="A31" s="7" t="s">
        <v>29</v>
      </c>
      <c r="B31" s="7"/>
      <c r="C31" s="7"/>
      <c r="D31" s="7"/>
    </row>
    <row r="32" customFormat="false" ht="15" hidden="false" customHeight="false" outlineLevel="0" collapsed="false">
      <c r="A32" s="13" t="s">
        <v>30</v>
      </c>
      <c r="B32" s="13" t="s">
        <v>31</v>
      </c>
      <c r="C32" s="13" t="s">
        <v>32</v>
      </c>
      <c r="D32" s="13" t="s">
        <v>33</v>
      </c>
    </row>
    <row r="33" customFormat="false" ht="15" hidden="false" customHeight="false" outlineLevel="0" collapsed="false">
      <c r="A33" s="11" t="s">
        <v>34</v>
      </c>
      <c r="B33" s="14" t="n">
        <f aca="false">COUNTIFS('Master Leads'!$B$2:$B$201,"Web Development")</f>
        <v>1</v>
      </c>
      <c r="C33" s="14" t="n">
        <f aca="false">COUNTIFS('Master Leads'!$B$2:$B$201,"Cinematic Videos")</f>
        <v>1</v>
      </c>
      <c r="D33" s="14" t="n">
        <f aca="false">B33+C33</f>
        <v>2</v>
      </c>
    </row>
    <row r="34" customFormat="false" ht="15" hidden="false" customHeight="false" outlineLevel="0" collapsed="false">
      <c r="A34" s="11" t="s">
        <v>35</v>
      </c>
      <c r="B34" s="14" t="n">
        <f aca="false">COUNTIFS('Master Leads'!$B$2:$B$201,"Web Development",'Master Leads'!$V$2:$V$201,"&lt;&gt;")</f>
        <v>1</v>
      </c>
      <c r="C34" s="14" t="n">
        <f aca="false">COUNTIFS('Master Leads'!$B$2:$B$201,"Cinematic Videos",'Master Leads'!$V$2:$V$201,"&lt;&gt;")</f>
        <v>1</v>
      </c>
      <c r="D34" s="14" t="n">
        <f aca="false">B34+C34</f>
        <v>2</v>
      </c>
    </row>
    <row r="35" customFormat="false" ht="15" hidden="false" customHeight="false" outlineLevel="0" collapsed="false">
      <c r="A35" s="11" t="s">
        <v>11</v>
      </c>
      <c r="B35" s="14" t="n">
        <f aca="false">SUMPRODUCT(('Master Leads'!$B$2:$B$201="Web Development")*(ISNUMBER(MATCH('Master Leads'!$Y$2:$Y$201,{"Replied","Qualified","Preview Sent","Call Booked","Proposal Sent","Verbal Yes","Deposit Invoiced","Deposit Paid","Won"},0))))</f>
        <v>1</v>
      </c>
      <c r="C35" s="14" t="n">
        <f aca="false">SUMPRODUCT(('Master Leads'!$B$2:$B$201="Cinematic Videos")*(ISNUMBER(MATCH('Master Leads'!$Y$2:$Y$201,{"Replied","Qualified","Preview Sent","Call Booked","Proposal Sent","Verbal Yes","Deposit Invoiced","Deposit Paid","Won"},0))))</f>
        <v>1</v>
      </c>
      <c r="D35" s="14" t="n">
        <f aca="false">B35+C35</f>
        <v>2</v>
      </c>
    </row>
    <row r="36" customFormat="false" ht="15" hidden="false" customHeight="false" outlineLevel="0" collapsed="false">
      <c r="A36" s="11" t="s">
        <v>36</v>
      </c>
      <c r="B36" s="14" t="n">
        <f aca="false">SUMPRODUCT(('Master Leads'!$B$2:$B$201="Web Development")*(ISNUMBER(MATCH('Master Leads'!$Y$2:$Y$201,{"Call Booked","Proposal Sent","Verbal Yes","Deposit Invoiced","Deposit Paid","Won"},0))))</f>
        <v>1</v>
      </c>
      <c r="C36" s="14" t="n">
        <f aca="false">SUMPRODUCT(('Master Leads'!$B$2:$B$201="Cinematic Videos")*(ISNUMBER(MATCH('Master Leads'!$Y$2:$Y$201,{"Call Booked","Proposal Sent","Verbal Yes","Deposit Invoiced","Deposit Paid","Won"},0))))</f>
        <v>1</v>
      </c>
      <c r="D36" s="14" t="n">
        <f aca="false">B36+C36</f>
        <v>2</v>
      </c>
    </row>
    <row r="37" customFormat="false" ht="15" hidden="false" customHeight="false" outlineLevel="0" collapsed="false">
      <c r="A37" s="11" t="s">
        <v>37</v>
      </c>
      <c r="B37" s="14" t="n">
        <f aca="false">SUMPRODUCT(('Master Leads'!$B$2:$B$201="Web Development")*(ISNUMBER(MATCH('Master Leads'!$Y$2:$Y$201,{"Proposal Sent","Verbal Yes","Deposit Invoiced","Deposit Paid","Won"},0))))</f>
        <v>1</v>
      </c>
      <c r="C37" s="14" t="n">
        <f aca="false">SUMPRODUCT(('Master Leads'!$B$2:$B$201="Cinematic Videos")*(ISNUMBER(MATCH('Master Leads'!$Y$2:$Y$201,{"Proposal Sent","Verbal Yes","Deposit Invoiced","Deposit Paid","Won"},0))))</f>
        <v>1</v>
      </c>
      <c r="D37" s="14" t="n">
        <f aca="false">B37+C37</f>
        <v>2</v>
      </c>
    </row>
    <row r="38" customFormat="false" ht="15" hidden="false" customHeight="false" outlineLevel="0" collapsed="false">
      <c r="A38" s="11" t="s">
        <v>17</v>
      </c>
      <c r="B38" s="14" t="n">
        <f aca="false">COUNTIFS('Master Leads'!$B$2:$B$201,"Web Development",'Master Leads'!$Y$2:$Y$201,"Won")</f>
        <v>0</v>
      </c>
      <c r="C38" s="14" t="n">
        <f aca="false">COUNTIFS('Master Leads'!$B$2:$B$201,"Cinematic Videos",'Master Leads'!$Y$2:$Y$201,"Won")</f>
        <v>0</v>
      </c>
      <c r="D38" s="14" t="n">
        <f aca="false">B38+C38</f>
        <v>0</v>
      </c>
    </row>
    <row r="39" customFormat="false" ht="15" hidden="false" customHeight="false" outlineLevel="0" collapsed="false">
      <c r="A39" s="11" t="s">
        <v>38</v>
      </c>
      <c r="B39" s="15" t="n">
        <f aca="false">SUMIFS('Master Leads'!$Z$2:$Z$201,'Master Leads'!$B$2:$B$201,"Web Development",'Master Leads'!$Y$2:$Y$201,"&lt;&gt;Won",'Master Leads'!$Y$2:$Y$201,"&lt;&gt;Lost")</f>
        <v>1200</v>
      </c>
      <c r="C39" s="15" t="n">
        <f aca="false">SUMIFS('Master Leads'!$Z$2:$Z$201,'Master Leads'!$B$2:$B$201,"Cinematic Videos",'Master Leads'!$Y$2:$Y$201,"&lt;&gt;Won",'Master Leads'!$Y$2:$Y$201,"&lt;&gt;Lost")</f>
        <v>1800</v>
      </c>
      <c r="D39" s="15" t="n">
        <f aca="false">B39+C39</f>
        <v>3000</v>
      </c>
    </row>
    <row r="40" customFormat="false" ht="15" hidden="false" customHeight="false" outlineLevel="0" collapsed="false">
      <c r="A40" s="11" t="s">
        <v>39</v>
      </c>
      <c r="B40" s="15" t="n">
        <f aca="false">SUMIFS('Master Leads'!$Z$2:$Z$201,'Master Leads'!$B$2:$B$201,"Web Development",'Master Leads'!$Y$2:$Y$201,"Won")</f>
        <v>0</v>
      </c>
      <c r="C40" s="15" t="n">
        <f aca="false">SUMIFS('Master Leads'!$Z$2:$Z$201,'Master Leads'!$B$2:$B$201,"Cinematic Videos",'Master Leads'!$Y$2:$Y$201,"Won")</f>
        <v>0</v>
      </c>
      <c r="D40" s="15" t="n">
        <f aca="false">B40+C40</f>
        <v>0</v>
      </c>
    </row>
    <row r="41" customFormat="false" ht="15" hidden="false" customHeight="false" outlineLevel="0" collapsed="false">
      <c r="A41" s="11" t="s">
        <v>40</v>
      </c>
      <c r="B41" s="16" t="n">
        <v>0</v>
      </c>
      <c r="C41" s="16" t="n">
        <v>0</v>
      </c>
      <c r="D41" s="6" t="n">
        <f aca="false">B41+C41</f>
        <v>0</v>
      </c>
    </row>
    <row r="43" customFormat="false" ht="15" hidden="false" customHeight="false" outlineLevel="0" collapsed="false">
      <c r="A43" s="17" t="s">
        <v>41</v>
      </c>
      <c r="B43" s="17"/>
      <c r="C43" s="17"/>
      <c r="D43" s="17"/>
    </row>
  </sheetData>
  <mergeCells count="5">
    <mergeCell ref="A1:E1"/>
    <mergeCell ref="A2:E2"/>
    <mergeCell ref="A7:B7"/>
    <mergeCell ref="A31:D31"/>
    <mergeCell ref="A43:D43"/>
  </mergeCells>
  <dataValidations count="1">
    <dataValidation allowBlank="true" errorStyle="stop" operator="between" showDropDown="false" showErrorMessage="false" showInputMessage="false" sqref="B4" type="list">
      <formula1>VentureFilterList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4"/>
  </cols>
  <sheetData>
    <row r="1" customFormat="false" ht="30" hidden="false" customHeight="true" outlineLevel="0" collapsed="false">
      <c r="A1" s="1" t="s">
        <v>42</v>
      </c>
      <c r="B1" s="1"/>
      <c r="C1" s="1"/>
    </row>
    <row r="2" customFormat="false" ht="15.75" hidden="false" customHeight="true" outlineLevel="0" collapsed="false">
      <c r="A2" s="2" t="s">
        <v>43</v>
      </c>
      <c r="B2" s="2"/>
      <c r="C2" s="2"/>
    </row>
    <row r="4" customFormat="false" ht="19.5" hidden="false" customHeight="true" outlineLevel="0" collapsed="false">
      <c r="A4" s="7" t="s">
        <v>44</v>
      </c>
      <c r="B4" s="7"/>
    </row>
    <row r="5" customFormat="false" ht="15" hidden="false" customHeight="false" outlineLevel="0" collapsed="false">
      <c r="A5" s="11" t="s">
        <v>45</v>
      </c>
      <c r="B5" s="16" t="n">
        <v>4000</v>
      </c>
    </row>
    <row r="6" customFormat="false" ht="15" hidden="false" customHeight="false" outlineLevel="0" collapsed="false">
      <c r="A6" s="11" t="s">
        <v>46</v>
      </c>
      <c r="B6" s="18" t="n">
        <v>4</v>
      </c>
    </row>
    <row r="7" customFormat="false" ht="15" hidden="false" customHeight="false" outlineLevel="0" collapsed="false">
      <c r="A7" s="11" t="s">
        <v>47</v>
      </c>
      <c r="B7" s="16" t="n">
        <v>1200</v>
      </c>
    </row>
    <row r="8" customFormat="false" ht="15" hidden="false" customHeight="false" outlineLevel="0" collapsed="false">
      <c r="A8" s="11" t="s">
        <v>48</v>
      </c>
      <c r="B8" s="16" t="n">
        <v>1000</v>
      </c>
    </row>
    <row r="9" customFormat="false" ht="15" hidden="false" customHeight="false" outlineLevel="0" collapsed="false">
      <c r="A9" s="11" t="s">
        <v>49</v>
      </c>
      <c r="B9" s="16" t="n">
        <v>39</v>
      </c>
    </row>
    <row r="11" customFormat="false" ht="19.5" hidden="false" customHeight="true" outlineLevel="0" collapsed="false">
      <c r="A11" s="7" t="s">
        <v>50</v>
      </c>
      <c r="B11" s="7"/>
    </row>
    <row r="12" customFormat="false" ht="15" hidden="false" customHeight="false" outlineLevel="0" collapsed="false">
      <c r="A12" s="8" t="s">
        <v>51</v>
      </c>
      <c r="B12" s="9" t="n">
        <f aca="false">COUNTIFS('Master Leads'!$B$2:$B$201,"Web Development",'Master Leads'!$V$2:$V$201,"&lt;&gt;")</f>
        <v>1</v>
      </c>
    </row>
    <row r="13" customFormat="false" ht="15" hidden="false" customHeight="false" outlineLevel="0" collapsed="false">
      <c r="A13" s="8" t="s">
        <v>13</v>
      </c>
      <c r="B13" s="9" t="n">
        <f aca="false">SUMPRODUCT((('Master Leads'!$B$2:$B$201="Web Development"))*(ISNUMBER(MATCH('Master Leads'!$Y$2:$Y$201,{"Call Booked","Proposal Sent","Verbal Yes","Deposit Invoiced","Deposit Paid","Won"},0))))</f>
        <v>1</v>
      </c>
    </row>
    <row r="14" customFormat="false" ht="15" hidden="false" customHeight="false" outlineLevel="0" collapsed="false">
      <c r="A14" s="8" t="s">
        <v>16</v>
      </c>
      <c r="B14" s="9" t="n">
        <f aca="false">SUMPRODUCT((('Master Leads'!$B$2:$B$201="Web Development"))*(ISNUMBER(MATCH('Master Leads'!$Y$2:$Y$201,{"Proposal Sent","Verbal Yes","Deposit Invoiced","Deposit Paid","Won"},0))))</f>
        <v>1</v>
      </c>
    </row>
    <row r="15" customFormat="false" ht="15" hidden="false" customHeight="false" outlineLevel="0" collapsed="false">
      <c r="A15" s="8" t="s">
        <v>52</v>
      </c>
      <c r="B15" s="9" t="n">
        <f aca="false">COUNTIFS('Master Leads'!$B$2:$B$201,"Web Development",'Master Leads'!$Y$2:$Y$201,"Won")</f>
        <v>0</v>
      </c>
    </row>
    <row r="16" customFormat="false" ht="15" hidden="false" customHeight="false" outlineLevel="0" collapsed="false">
      <c r="A16" s="11" t="s">
        <v>53</v>
      </c>
      <c r="B16" s="18" t="n">
        <v>0</v>
      </c>
    </row>
    <row r="17" customFormat="false" ht="15" hidden="false" customHeight="false" outlineLevel="0" collapsed="false">
      <c r="A17" s="11" t="s">
        <v>54</v>
      </c>
      <c r="B17" s="18" t="n">
        <v>0</v>
      </c>
    </row>
    <row r="18" customFormat="false" ht="15" hidden="false" customHeight="false" outlineLevel="0" collapsed="false">
      <c r="A18" s="8" t="s">
        <v>55</v>
      </c>
      <c r="B18" s="10" t="n">
        <f aca="false">SUMIFS('Master Leads'!$Z$2:$Z$201,'Master Leads'!$B$2:$B$201,"Web Development",'Master Leads'!$Y$2:$Y$201,"&lt;&gt;Won",'Master Leads'!$Y$2:$Y$201,"&lt;&gt;Lost")</f>
        <v>1200</v>
      </c>
    </row>
    <row r="19" customFormat="false" ht="15" hidden="false" customHeight="false" outlineLevel="0" collapsed="false">
      <c r="A19" s="8" t="s">
        <v>39</v>
      </c>
      <c r="B19" s="10" t="n">
        <f aca="false">SUMIFS('Master Leads'!$Z$2:$Z$201,'Master Leads'!$B$2:$B$201,"Web Development",'Master Leads'!$Y$2:$Y$201,"Won")</f>
        <v>0</v>
      </c>
    </row>
    <row r="20" customFormat="false" ht="15" hidden="false" customHeight="false" outlineLevel="0" collapsed="false">
      <c r="A20" s="11" t="s">
        <v>56</v>
      </c>
      <c r="B20" s="16" t="n">
        <v>0</v>
      </c>
    </row>
    <row r="21" customFormat="false" ht="15" hidden="false" customHeight="false" outlineLevel="0" collapsed="false">
      <c r="A21" s="8" t="s">
        <v>57</v>
      </c>
      <c r="B21" s="12" t="n">
        <f aca="false">IFERROR($B$19/$B$5,0)</f>
        <v>0</v>
      </c>
    </row>
    <row r="22" customFormat="false" ht="15" hidden="false" customHeight="false" outlineLevel="0" collapsed="false">
      <c r="A22" s="8" t="s">
        <v>58</v>
      </c>
      <c r="B22" s="12" t="n">
        <f aca="false">IFERROR($B$15/$B$6,0)</f>
        <v>0</v>
      </c>
    </row>
  </sheetData>
  <mergeCells count="4">
    <mergeCell ref="A1:C1"/>
    <mergeCell ref="A2:C2"/>
    <mergeCell ref="A4:B4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504D"/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4"/>
  </cols>
  <sheetData>
    <row r="1" customFormat="false" ht="30" hidden="false" customHeight="true" outlineLevel="0" collapsed="false">
      <c r="A1" s="1" t="s">
        <v>59</v>
      </c>
      <c r="B1" s="1"/>
      <c r="C1" s="1"/>
    </row>
    <row r="2" customFormat="false" ht="15.75" hidden="false" customHeight="true" outlineLevel="0" collapsed="false">
      <c r="A2" s="2" t="s">
        <v>60</v>
      </c>
      <c r="B2" s="2"/>
      <c r="C2" s="2"/>
    </row>
    <row r="4" customFormat="false" ht="19.5" hidden="false" customHeight="true" outlineLevel="0" collapsed="false">
      <c r="A4" s="7" t="s">
        <v>44</v>
      </c>
      <c r="B4" s="7"/>
    </row>
    <row r="5" customFormat="false" ht="15" hidden="false" customHeight="false" outlineLevel="0" collapsed="false">
      <c r="A5" s="11" t="s">
        <v>45</v>
      </c>
      <c r="B5" s="16" t="n">
        <v>4500</v>
      </c>
    </row>
    <row r="6" customFormat="false" ht="15" hidden="false" customHeight="false" outlineLevel="0" collapsed="false">
      <c r="A6" s="11" t="s">
        <v>61</v>
      </c>
      <c r="B6" s="18" t="n">
        <v>3</v>
      </c>
    </row>
    <row r="7" customFormat="false" ht="15" hidden="false" customHeight="false" outlineLevel="0" collapsed="false">
      <c r="A7" s="11" t="s">
        <v>62</v>
      </c>
      <c r="B7" s="16" t="n">
        <v>1500</v>
      </c>
    </row>
    <row r="9" customFormat="false" ht="19.5" hidden="false" customHeight="true" outlineLevel="0" collapsed="false">
      <c r="A9" s="7" t="s">
        <v>50</v>
      </c>
      <c r="B9" s="7"/>
    </row>
    <row r="10" customFormat="false" ht="15" hidden="false" customHeight="false" outlineLevel="0" collapsed="false">
      <c r="A10" s="8" t="s">
        <v>51</v>
      </c>
      <c r="B10" s="9" t="n">
        <f aca="false">COUNTIFS('Master Leads'!$B$2:$B$201,"Cinematic Videos",'Master Leads'!$V$2:$V$201,"&lt;&gt;")</f>
        <v>1</v>
      </c>
    </row>
    <row r="11" customFormat="false" ht="15" hidden="false" customHeight="false" outlineLevel="0" collapsed="false">
      <c r="A11" s="8" t="s">
        <v>13</v>
      </c>
      <c r="B11" s="9" t="n">
        <f aca="false">SUMPRODUCT((('Master Leads'!$B$2:$B$201="Cinematic Videos"))*(ISNUMBER(MATCH('Master Leads'!$Y$2:$Y$201,{"Call Booked","Proposal Sent","Verbal Yes","Deposit Invoiced","Deposit Paid","Won"},0))))</f>
        <v>1</v>
      </c>
    </row>
    <row r="12" customFormat="false" ht="15" hidden="false" customHeight="false" outlineLevel="0" collapsed="false">
      <c r="A12" s="8" t="s">
        <v>16</v>
      </c>
      <c r="B12" s="9" t="n">
        <f aca="false">SUMPRODUCT((('Master Leads'!$B$2:$B$201="Cinematic Videos"))*(ISNUMBER(MATCH('Master Leads'!$Y$2:$Y$201,{"Proposal Sent","Verbal Yes","Deposit Invoiced","Deposit Paid","Won"},0))))</f>
        <v>1</v>
      </c>
    </row>
    <row r="13" customFormat="false" ht="15" hidden="false" customHeight="false" outlineLevel="0" collapsed="false">
      <c r="A13" s="8" t="s">
        <v>63</v>
      </c>
      <c r="B13" s="9" t="n">
        <f aca="false">COUNTIFS('Master Leads'!$B$2:$B$201,"Cinematic Videos",'Master Leads'!$Y$2:$Y$201,"Won")</f>
        <v>0</v>
      </c>
    </row>
    <row r="14" customFormat="false" ht="15" hidden="false" customHeight="false" outlineLevel="0" collapsed="false">
      <c r="A14" s="11" t="s">
        <v>64</v>
      </c>
      <c r="B14" s="18" t="n">
        <v>0</v>
      </c>
    </row>
    <row r="15" customFormat="false" ht="15" hidden="false" customHeight="false" outlineLevel="0" collapsed="false">
      <c r="A15" s="8" t="s">
        <v>65</v>
      </c>
      <c r="B15" s="10" t="n">
        <f aca="false">SUMIFS('Master Leads'!$Z$2:$Z$201,'Master Leads'!$B$2:$B$201,"Cinematic Videos",'Master Leads'!$Y$2:$Y$201,"&lt;&gt;Won",'Master Leads'!$Y$2:$Y$201,"&lt;&gt;Lost")</f>
        <v>1800</v>
      </c>
    </row>
    <row r="16" customFormat="false" ht="15" hidden="false" customHeight="false" outlineLevel="0" collapsed="false">
      <c r="A16" s="8" t="s">
        <v>39</v>
      </c>
      <c r="B16" s="10" t="n">
        <f aca="false">SUMIFS('Master Leads'!$Z$2:$Z$201,'Master Leads'!$B$2:$B$201,"Cinematic Videos",'Master Leads'!$Y$2:$Y$201,"Won")</f>
        <v>0</v>
      </c>
    </row>
    <row r="17" customFormat="false" ht="15" hidden="false" customHeight="false" outlineLevel="0" collapsed="false">
      <c r="A17" s="11" t="s">
        <v>56</v>
      </c>
      <c r="B17" s="16" t="n">
        <v>0</v>
      </c>
    </row>
    <row r="18" customFormat="false" ht="15" hidden="false" customHeight="false" outlineLevel="0" collapsed="false">
      <c r="A18" s="8" t="s">
        <v>57</v>
      </c>
      <c r="B18" s="12" t="n">
        <f aca="false">IFERROR($B$16/$B$5,0)</f>
        <v>0</v>
      </c>
    </row>
    <row r="19" customFormat="false" ht="15" hidden="false" customHeight="false" outlineLevel="0" collapsed="false">
      <c r="A19" s="8" t="s">
        <v>66</v>
      </c>
      <c r="B19" s="12" t="n">
        <f aca="false">IFERROR($B$13/$B$6,0)</f>
        <v>0</v>
      </c>
    </row>
  </sheetData>
  <mergeCells count="4">
    <mergeCell ref="A1:C1"/>
    <mergeCell ref="A2:C2"/>
    <mergeCell ref="A4:B4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AG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22"/>
    <col collapsed="false" customWidth="true" hidden="false" outlineLevel="0" max="14" min="12" style="0" width="14"/>
    <col collapsed="false" customWidth="true" hidden="false" outlineLevel="0" max="15" min="15" style="0" width="18"/>
    <col collapsed="false" customWidth="true" hidden="false" outlineLevel="0" max="16" min="16" style="0" width="16"/>
    <col collapsed="false" customWidth="true" hidden="false" outlineLevel="0" max="17" min="17" style="0" width="30"/>
    <col collapsed="false" customWidth="true" hidden="false" outlineLevel="0" max="18" min="18" style="0" width="20"/>
    <col collapsed="false" customWidth="true" hidden="false" outlineLevel="0" max="19" min="19" style="0" width="10"/>
    <col collapsed="false" customWidth="true" hidden="false" outlineLevel="0" max="20" min="20" style="0" width="20"/>
    <col collapsed="false" customWidth="true" hidden="false" outlineLevel="0" max="21" min="21" style="0" width="16"/>
    <col collapsed="false" customWidth="true" hidden="false" outlineLevel="0" max="24" min="22" style="0" width="14"/>
    <col collapsed="false" customWidth="true" hidden="false" outlineLevel="0" max="25" min="25" style="0" width="16"/>
    <col collapsed="false" customWidth="true" hidden="false" outlineLevel="0" max="26" min="26" style="0" width="14"/>
    <col collapsed="false" customWidth="true" hidden="false" outlineLevel="0" max="27" min="27" style="0" width="10"/>
    <col collapsed="false" customWidth="true" hidden="false" outlineLevel="0" max="29" min="28" style="0" width="14"/>
    <col collapsed="false" customWidth="true" hidden="false" outlineLevel="0" max="30" min="30" style="0" width="20"/>
    <col collapsed="false" customWidth="true" hidden="false" outlineLevel="0" max="31" min="31" style="0" width="14"/>
    <col collapsed="false" customWidth="true" hidden="false" outlineLevel="0" max="32" min="32" style="0" width="18"/>
    <col collapsed="false" customWidth="true" hidden="false" outlineLevel="0" max="33" min="33" style="0" width="26"/>
  </cols>
  <sheetData>
    <row r="1" customFormat="false" ht="31.5" hidden="false" customHeight="true" outlineLevel="0" collapsed="false">
      <c r="A1" s="19" t="s">
        <v>67</v>
      </c>
      <c r="B1" s="19" t="s">
        <v>68</v>
      </c>
      <c r="C1" s="19" t="s">
        <v>69</v>
      </c>
      <c r="D1" s="19" t="s">
        <v>70</v>
      </c>
      <c r="E1" s="19" t="s">
        <v>71</v>
      </c>
      <c r="F1" s="19" t="s">
        <v>72</v>
      </c>
      <c r="G1" s="19" t="s">
        <v>73</v>
      </c>
      <c r="H1" s="19" t="s">
        <v>74</v>
      </c>
      <c r="I1" s="19" t="s">
        <v>75</v>
      </c>
      <c r="J1" s="19" t="s">
        <v>76</v>
      </c>
      <c r="K1" s="19" t="s">
        <v>77</v>
      </c>
      <c r="L1" s="19" t="s">
        <v>78</v>
      </c>
      <c r="M1" s="19" t="s">
        <v>79</v>
      </c>
      <c r="N1" s="19" t="s">
        <v>80</v>
      </c>
      <c r="O1" s="19" t="s">
        <v>81</v>
      </c>
      <c r="P1" s="19" t="s">
        <v>82</v>
      </c>
      <c r="Q1" s="19" t="s">
        <v>83</v>
      </c>
      <c r="R1" s="19" t="s">
        <v>84</v>
      </c>
      <c r="S1" s="19" t="s">
        <v>85</v>
      </c>
      <c r="T1" s="19" t="s">
        <v>86</v>
      </c>
      <c r="U1" s="19" t="s">
        <v>87</v>
      </c>
      <c r="V1" s="19" t="s">
        <v>88</v>
      </c>
      <c r="W1" s="19" t="s">
        <v>89</v>
      </c>
      <c r="X1" s="19" t="s">
        <v>90</v>
      </c>
      <c r="Y1" s="19" t="s">
        <v>91</v>
      </c>
      <c r="Z1" s="19" t="s">
        <v>92</v>
      </c>
      <c r="AA1" s="19" t="s">
        <v>93</v>
      </c>
      <c r="AB1" s="19" t="s">
        <v>94</v>
      </c>
      <c r="AC1" s="19" t="s">
        <v>95</v>
      </c>
      <c r="AD1" s="19" t="s">
        <v>96</v>
      </c>
      <c r="AE1" s="19" t="s">
        <v>97</v>
      </c>
      <c r="AF1" s="19" t="s">
        <v>98</v>
      </c>
      <c r="AG1" s="19" t="s">
        <v>99</v>
      </c>
    </row>
    <row r="2" customFormat="false" ht="15" hidden="false" customHeight="false" outlineLevel="0" collapsed="false">
      <c r="A2" s="11" t="s">
        <v>100</v>
      </c>
      <c r="B2" s="11" t="s">
        <v>31</v>
      </c>
      <c r="C2" s="20" t="n">
        <v>46238</v>
      </c>
      <c r="D2" s="11" t="s">
        <v>101</v>
      </c>
      <c r="E2" s="11" t="s">
        <v>102</v>
      </c>
      <c r="F2" s="11" t="s">
        <v>103</v>
      </c>
      <c r="G2" s="11" t="s">
        <v>104</v>
      </c>
      <c r="H2" s="11" t="s">
        <v>105</v>
      </c>
      <c r="I2" s="11" t="s">
        <v>106</v>
      </c>
      <c r="J2" s="11" t="s">
        <v>107</v>
      </c>
      <c r="K2" s="11" t="s">
        <v>108</v>
      </c>
      <c r="L2" s="11" t="s">
        <v>109</v>
      </c>
      <c r="M2" s="11" t="s">
        <v>109</v>
      </c>
      <c r="N2" s="11" t="s">
        <v>110</v>
      </c>
      <c r="O2" s="11" t="s">
        <v>111</v>
      </c>
      <c r="P2" s="11" t="s">
        <v>112</v>
      </c>
      <c r="Q2" s="11" t="s">
        <v>113</v>
      </c>
      <c r="R2" s="11" t="s">
        <v>114</v>
      </c>
      <c r="S2" s="11" t="s">
        <v>115</v>
      </c>
      <c r="T2" s="11" t="s">
        <v>116</v>
      </c>
      <c r="U2" s="11" t="s">
        <v>117</v>
      </c>
      <c r="V2" s="20" t="n">
        <v>46239</v>
      </c>
      <c r="W2" s="20" t="n">
        <v>46253</v>
      </c>
      <c r="X2" s="20" t="n">
        <v>46281</v>
      </c>
      <c r="Y2" s="11" t="s">
        <v>118</v>
      </c>
      <c r="Z2" s="21" t="n">
        <v>1200</v>
      </c>
      <c r="AA2" s="22" t="n">
        <f aca="false">IFERROR(INDEX(Lists!$F$2:$F$15,MATCH(Y2,Lists!$E$2:$E$15,0)),"")</f>
        <v>0.5</v>
      </c>
      <c r="AB2" s="21" t="n">
        <f aca="false">IF(OR(Z2="",AA2=""),"",Z2*AA2)</f>
        <v>600</v>
      </c>
      <c r="AC2" s="20" t="n">
        <v>46291</v>
      </c>
      <c r="AD2" s="11" t="s">
        <v>119</v>
      </c>
      <c r="AE2" s="20" t="s">
        <v>120</v>
      </c>
      <c r="AF2" s="11"/>
      <c r="AG2" s="11"/>
    </row>
    <row r="3" customFormat="false" ht="15" hidden="false" customHeight="false" outlineLevel="0" collapsed="false">
      <c r="A3" s="11" t="s">
        <v>121</v>
      </c>
      <c r="B3" s="11" t="s">
        <v>32</v>
      </c>
      <c r="C3" s="20" t="n">
        <v>46245</v>
      </c>
      <c r="D3" s="11" t="s">
        <v>122</v>
      </c>
      <c r="E3" s="11" t="s">
        <v>123</v>
      </c>
      <c r="F3" s="11" t="s">
        <v>124</v>
      </c>
      <c r="G3" s="11" t="s">
        <v>125</v>
      </c>
      <c r="H3" s="11" t="s">
        <v>126</v>
      </c>
      <c r="I3" s="11" t="s">
        <v>127</v>
      </c>
      <c r="J3" s="11" t="s">
        <v>128</v>
      </c>
      <c r="K3" s="11" t="s">
        <v>129</v>
      </c>
      <c r="L3" s="11" t="s">
        <v>130</v>
      </c>
      <c r="M3" s="11" t="s">
        <v>130</v>
      </c>
      <c r="N3" s="11" t="s">
        <v>131</v>
      </c>
      <c r="O3" s="11" t="s">
        <v>132</v>
      </c>
      <c r="P3" s="11" t="s">
        <v>133</v>
      </c>
      <c r="Q3" s="11" t="s">
        <v>134</v>
      </c>
      <c r="R3" s="11" t="s">
        <v>135</v>
      </c>
      <c r="S3" s="11" t="s">
        <v>115</v>
      </c>
      <c r="T3" s="11" t="s">
        <v>136</v>
      </c>
      <c r="U3" s="11" t="s">
        <v>137</v>
      </c>
      <c r="V3" s="20" t="n">
        <v>46246</v>
      </c>
      <c r="W3" s="20" t="n">
        <v>46267</v>
      </c>
      <c r="X3" s="20" t="n">
        <v>46280</v>
      </c>
      <c r="Y3" s="11" t="s">
        <v>138</v>
      </c>
      <c r="Z3" s="21" t="n">
        <v>1800</v>
      </c>
      <c r="AA3" s="22" t="n">
        <f aca="false">IFERROR(INDEX(Lists!$F$2:$F$15,MATCH(Y3,Lists!$E$2:$E$15,0)),"")</f>
        <v>0.75</v>
      </c>
      <c r="AB3" s="21" t="n">
        <f aca="false">IF(OR(Z3="",AA3=""),"",Z3*AA3)</f>
        <v>1350</v>
      </c>
      <c r="AC3" s="20" t="n">
        <v>46285</v>
      </c>
      <c r="AD3" s="11" t="s">
        <v>139</v>
      </c>
      <c r="AE3" s="20" t="s">
        <v>120</v>
      </c>
      <c r="AF3" s="11"/>
      <c r="AG3" s="11"/>
    </row>
    <row r="4" customFormat="false" ht="15" hidden="false" customHeight="false" outlineLevel="0" collapsed="false">
      <c r="A4" s="11"/>
      <c r="B4" s="11"/>
      <c r="C4" s="2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20"/>
      <c r="W4" s="20"/>
      <c r="X4" s="20"/>
      <c r="Y4" s="11"/>
      <c r="Z4" s="21"/>
      <c r="AA4" s="22" t="str">
        <f aca="false">IFERROR(INDEX(Lists!$F$2:$F$15,MATCH(Y4,Lists!$E$2:$E$15,0)),"")</f>
        <v/>
      </c>
      <c r="AB4" s="21" t="str">
        <f aca="false">IF(OR(Z4="",AA4=""),"",Z4*AA4)</f>
        <v/>
      </c>
      <c r="AC4" s="20"/>
      <c r="AD4" s="11"/>
      <c r="AE4" s="20"/>
      <c r="AF4" s="11"/>
      <c r="AG4" s="11"/>
    </row>
    <row r="5" customFormat="false" ht="15" hidden="false" customHeight="false" outlineLevel="0" collapsed="false">
      <c r="A5" s="11"/>
      <c r="B5" s="11"/>
      <c r="C5" s="20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20"/>
      <c r="W5" s="20"/>
      <c r="X5" s="20"/>
      <c r="Y5" s="11"/>
      <c r="Z5" s="21"/>
      <c r="AA5" s="22" t="str">
        <f aca="false">IFERROR(INDEX(Lists!$F$2:$F$15,MATCH(Y5,Lists!$E$2:$E$15,0)),"")</f>
        <v/>
      </c>
      <c r="AB5" s="21" t="str">
        <f aca="false">IF(OR(Z5="",AA5=""),"",Z5*AA5)</f>
        <v/>
      </c>
      <c r="AC5" s="20"/>
      <c r="AD5" s="11"/>
      <c r="AE5" s="20"/>
      <c r="AF5" s="11"/>
      <c r="AG5" s="11"/>
    </row>
    <row r="6" customFormat="false" ht="15" hidden="false" customHeight="false" outlineLevel="0" collapsed="false">
      <c r="A6" s="11"/>
      <c r="B6" s="11"/>
      <c r="C6" s="20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20"/>
      <c r="W6" s="20"/>
      <c r="X6" s="20"/>
      <c r="Y6" s="11"/>
      <c r="Z6" s="21"/>
      <c r="AA6" s="22" t="str">
        <f aca="false">IFERROR(INDEX(Lists!$F$2:$F$15,MATCH(Y6,Lists!$E$2:$E$15,0)),"")</f>
        <v/>
      </c>
      <c r="AB6" s="21" t="str">
        <f aca="false">IF(OR(Z6="",AA6=""),"",Z6*AA6)</f>
        <v/>
      </c>
      <c r="AC6" s="20"/>
      <c r="AD6" s="11"/>
      <c r="AE6" s="20"/>
      <c r="AF6" s="11"/>
      <c r="AG6" s="11"/>
    </row>
    <row r="7" customFormat="false" ht="15" hidden="false" customHeight="false" outlineLevel="0" collapsed="false">
      <c r="A7" s="11"/>
      <c r="B7" s="11"/>
      <c r="C7" s="2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20"/>
      <c r="W7" s="20"/>
      <c r="X7" s="20"/>
      <c r="Y7" s="11"/>
      <c r="Z7" s="21"/>
      <c r="AA7" s="22" t="str">
        <f aca="false">IFERROR(INDEX(Lists!$F$2:$F$15,MATCH(Y7,Lists!$E$2:$E$15,0)),"")</f>
        <v/>
      </c>
      <c r="AB7" s="21" t="str">
        <f aca="false">IF(OR(Z7="",AA7=""),"",Z7*AA7)</f>
        <v/>
      </c>
      <c r="AC7" s="20"/>
      <c r="AD7" s="11"/>
      <c r="AE7" s="20"/>
      <c r="AF7" s="11"/>
      <c r="AG7" s="11"/>
    </row>
    <row r="8" customFormat="false" ht="15" hidden="false" customHeight="false" outlineLevel="0" collapsed="false">
      <c r="A8" s="11"/>
      <c r="B8" s="11"/>
      <c r="C8" s="2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20"/>
      <c r="W8" s="20"/>
      <c r="X8" s="20"/>
      <c r="Y8" s="11"/>
      <c r="Z8" s="21"/>
      <c r="AA8" s="22" t="str">
        <f aca="false">IFERROR(INDEX(Lists!$F$2:$F$15,MATCH(Y8,Lists!$E$2:$E$15,0)),"")</f>
        <v/>
      </c>
      <c r="AB8" s="21" t="str">
        <f aca="false">IF(OR(Z8="",AA8=""),"",Z8*AA8)</f>
        <v/>
      </c>
      <c r="AC8" s="20"/>
      <c r="AD8" s="11"/>
      <c r="AE8" s="20"/>
      <c r="AF8" s="11"/>
      <c r="AG8" s="11"/>
    </row>
    <row r="9" customFormat="false" ht="15" hidden="false" customHeight="false" outlineLevel="0" collapsed="false">
      <c r="A9" s="11"/>
      <c r="B9" s="11"/>
      <c r="C9" s="20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20"/>
      <c r="W9" s="20"/>
      <c r="X9" s="20"/>
      <c r="Y9" s="11"/>
      <c r="Z9" s="21"/>
      <c r="AA9" s="22" t="str">
        <f aca="false">IFERROR(INDEX(Lists!$F$2:$F$15,MATCH(Y9,Lists!$E$2:$E$15,0)),"")</f>
        <v/>
      </c>
      <c r="AB9" s="21" t="str">
        <f aca="false">IF(OR(Z9="",AA9=""),"",Z9*AA9)</f>
        <v/>
      </c>
      <c r="AC9" s="20"/>
      <c r="AD9" s="11"/>
      <c r="AE9" s="20"/>
      <c r="AF9" s="11"/>
      <c r="AG9" s="11"/>
    </row>
    <row r="10" customFormat="false" ht="15" hidden="false" customHeight="false" outlineLevel="0" collapsed="false">
      <c r="A10" s="11"/>
      <c r="B10" s="11"/>
      <c r="C10" s="2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20"/>
      <c r="W10" s="20"/>
      <c r="X10" s="20"/>
      <c r="Y10" s="11"/>
      <c r="Z10" s="21"/>
      <c r="AA10" s="22" t="str">
        <f aca="false">IFERROR(INDEX(Lists!$F$2:$F$15,MATCH(Y10,Lists!$E$2:$E$15,0)),"")</f>
        <v/>
      </c>
      <c r="AB10" s="21" t="str">
        <f aca="false">IF(OR(Z10="",AA10=""),"",Z10*AA10)</f>
        <v/>
      </c>
      <c r="AC10" s="20"/>
      <c r="AD10" s="11"/>
      <c r="AE10" s="20"/>
      <c r="AF10" s="11"/>
      <c r="AG10" s="11"/>
    </row>
    <row r="11" customFormat="false" ht="15" hidden="false" customHeight="false" outlineLevel="0" collapsed="false">
      <c r="A11" s="11"/>
      <c r="B11" s="11"/>
      <c r="C11" s="2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20"/>
      <c r="W11" s="20"/>
      <c r="X11" s="20"/>
      <c r="Y11" s="11"/>
      <c r="Z11" s="21"/>
      <c r="AA11" s="22" t="str">
        <f aca="false">IFERROR(INDEX(Lists!$F$2:$F$15,MATCH(Y11,Lists!$E$2:$E$15,0)),"")</f>
        <v/>
      </c>
      <c r="AB11" s="21" t="str">
        <f aca="false">IF(OR(Z11="",AA11=""),"",Z11*AA11)</f>
        <v/>
      </c>
      <c r="AC11" s="20"/>
      <c r="AD11" s="11"/>
      <c r="AE11" s="20"/>
      <c r="AF11" s="11"/>
      <c r="AG11" s="11"/>
    </row>
    <row r="12" customFormat="false" ht="15" hidden="false" customHeight="false" outlineLevel="0" collapsed="false">
      <c r="A12" s="11"/>
      <c r="B12" s="11"/>
      <c r="C12" s="2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20"/>
      <c r="W12" s="20"/>
      <c r="X12" s="20"/>
      <c r="Y12" s="11"/>
      <c r="Z12" s="21"/>
      <c r="AA12" s="22" t="str">
        <f aca="false">IFERROR(INDEX(Lists!$F$2:$F$15,MATCH(Y12,Lists!$E$2:$E$15,0)),"")</f>
        <v/>
      </c>
      <c r="AB12" s="21" t="str">
        <f aca="false">IF(OR(Z12="",AA12=""),"",Z12*AA12)</f>
        <v/>
      </c>
      <c r="AC12" s="20"/>
      <c r="AD12" s="11"/>
      <c r="AE12" s="20"/>
      <c r="AF12" s="11"/>
      <c r="AG12" s="11"/>
    </row>
    <row r="13" customFormat="false" ht="15" hidden="false" customHeight="false" outlineLevel="0" collapsed="false">
      <c r="A13" s="11"/>
      <c r="B13" s="11"/>
      <c r="C13" s="2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20"/>
      <c r="W13" s="20"/>
      <c r="X13" s="20"/>
      <c r="Y13" s="11"/>
      <c r="Z13" s="21"/>
      <c r="AA13" s="22" t="str">
        <f aca="false">IFERROR(INDEX(Lists!$F$2:$F$15,MATCH(Y13,Lists!$E$2:$E$15,0)),"")</f>
        <v/>
      </c>
      <c r="AB13" s="21" t="str">
        <f aca="false">IF(OR(Z13="",AA13=""),"",Z13*AA13)</f>
        <v/>
      </c>
      <c r="AC13" s="20"/>
      <c r="AD13" s="11"/>
      <c r="AE13" s="20"/>
      <c r="AF13" s="11"/>
      <c r="AG13" s="11"/>
    </row>
    <row r="14" customFormat="false" ht="15" hidden="false" customHeight="false" outlineLevel="0" collapsed="false">
      <c r="A14" s="11"/>
      <c r="B14" s="11"/>
      <c r="C14" s="2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20"/>
      <c r="W14" s="20"/>
      <c r="X14" s="20"/>
      <c r="Y14" s="11"/>
      <c r="Z14" s="21"/>
      <c r="AA14" s="22" t="str">
        <f aca="false">IFERROR(INDEX(Lists!$F$2:$F$15,MATCH(Y14,Lists!$E$2:$E$15,0)),"")</f>
        <v/>
      </c>
      <c r="AB14" s="21" t="str">
        <f aca="false">IF(OR(Z14="",AA14=""),"",Z14*AA14)</f>
        <v/>
      </c>
      <c r="AC14" s="20"/>
      <c r="AD14" s="11"/>
      <c r="AE14" s="20"/>
      <c r="AF14" s="11"/>
      <c r="AG14" s="11"/>
    </row>
    <row r="15" customFormat="false" ht="15" hidden="false" customHeight="false" outlineLevel="0" collapsed="false">
      <c r="A15" s="11"/>
      <c r="B15" s="11"/>
      <c r="C15" s="20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20"/>
      <c r="W15" s="20"/>
      <c r="X15" s="20"/>
      <c r="Y15" s="11"/>
      <c r="Z15" s="21"/>
      <c r="AA15" s="22" t="str">
        <f aca="false">IFERROR(INDEX(Lists!$F$2:$F$15,MATCH(Y15,Lists!$E$2:$E$15,0)),"")</f>
        <v/>
      </c>
      <c r="AB15" s="21" t="str">
        <f aca="false">IF(OR(Z15="",AA15=""),"",Z15*AA15)</f>
        <v/>
      </c>
      <c r="AC15" s="20"/>
      <c r="AD15" s="11"/>
      <c r="AE15" s="20"/>
      <c r="AF15" s="11"/>
      <c r="AG15" s="11"/>
    </row>
    <row r="16" customFormat="false" ht="15" hidden="false" customHeight="false" outlineLevel="0" collapsed="false">
      <c r="A16" s="11"/>
      <c r="B16" s="11"/>
      <c r="C16" s="2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20"/>
      <c r="W16" s="20"/>
      <c r="X16" s="20"/>
      <c r="Y16" s="11"/>
      <c r="Z16" s="21"/>
      <c r="AA16" s="22" t="str">
        <f aca="false">IFERROR(INDEX(Lists!$F$2:$F$15,MATCH(Y16,Lists!$E$2:$E$15,0)),"")</f>
        <v/>
      </c>
      <c r="AB16" s="21" t="str">
        <f aca="false">IF(OR(Z16="",AA16=""),"",Z16*AA16)</f>
        <v/>
      </c>
      <c r="AC16" s="20"/>
      <c r="AD16" s="11"/>
      <c r="AE16" s="20"/>
      <c r="AF16" s="11"/>
      <c r="AG16" s="11"/>
    </row>
    <row r="17" customFormat="false" ht="15" hidden="false" customHeight="false" outlineLevel="0" collapsed="false">
      <c r="A17" s="11"/>
      <c r="B17" s="11"/>
      <c r="C17" s="2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20"/>
      <c r="W17" s="20"/>
      <c r="X17" s="20"/>
      <c r="Y17" s="11"/>
      <c r="Z17" s="21"/>
      <c r="AA17" s="22" t="str">
        <f aca="false">IFERROR(INDEX(Lists!$F$2:$F$15,MATCH(Y17,Lists!$E$2:$E$15,0)),"")</f>
        <v/>
      </c>
      <c r="AB17" s="21" t="str">
        <f aca="false">IF(OR(Z17="",AA17=""),"",Z17*AA17)</f>
        <v/>
      </c>
      <c r="AC17" s="20"/>
      <c r="AD17" s="11"/>
      <c r="AE17" s="20"/>
      <c r="AF17" s="11"/>
      <c r="AG17" s="11"/>
    </row>
    <row r="18" customFormat="false" ht="15" hidden="false" customHeight="false" outlineLevel="0" collapsed="false">
      <c r="A18" s="11"/>
      <c r="B18" s="11"/>
      <c r="C18" s="20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20"/>
      <c r="W18" s="20"/>
      <c r="X18" s="20"/>
      <c r="Y18" s="11"/>
      <c r="Z18" s="21"/>
      <c r="AA18" s="22" t="str">
        <f aca="false">IFERROR(INDEX(Lists!$F$2:$F$15,MATCH(Y18,Lists!$E$2:$E$15,0)),"")</f>
        <v/>
      </c>
      <c r="AB18" s="21" t="str">
        <f aca="false">IF(OR(Z18="",AA18=""),"",Z18*AA18)</f>
        <v/>
      </c>
      <c r="AC18" s="20"/>
      <c r="AD18" s="11"/>
      <c r="AE18" s="20"/>
      <c r="AF18" s="11"/>
      <c r="AG18" s="11"/>
    </row>
    <row r="19" customFormat="false" ht="15" hidden="false" customHeight="false" outlineLevel="0" collapsed="false">
      <c r="A19" s="11"/>
      <c r="B19" s="11"/>
      <c r="C19" s="20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20"/>
      <c r="W19" s="20"/>
      <c r="X19" s="20"/>
      <c r="Y19" s="11"/>
      <c r="Z19" s="21"/>
      <c r="AA19" s="22" t="str">
        <f aca="false">IFERROR(INDEX(Lists!$F$2:$F$15,MATCH(Y19,Lists!$E$2:$E$15,0)),"")</f>
        <v/>
      </c>
      <c r="AB19" s="21" t="str">
        <f aca="false">IF(OR(Z19="",AA19=""),"",Z19*AA19)</f>
        <v/>
      </c>
      <c r="AC19" s="20"/>
      <c r="AD19" s="11"/>
      <c r="AE19" s="20"/>
      <c r="AF19" s="11"/>
      <c r="AG19" s="11"/>
    </row>
    <row r="20" customFormat="false" ht="15" hidden="false" customHeight="false" outlineLevel="0" collapsed="false">
      <c r="A20" s="11"/>
      <c r="B20" s="11"/>
      <c r="C20" s="20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20"/>
      <c r="W20" s="20"/>
      <c r="X20" s="20"/>
      <c r="Y20" s="11"/>
      <c r="Z20" s="21"/>
      <c r="AA20" s="22" t="str">
        <f aca="false">IFERROR(INDEX(Lists!$F$2:$F$15,MATCH(Y20,Lists!$E$2:$E$15,0)),"")</f>
        <v/>
      </c>
      <c r="AB20" s="21" t="str">
        <f aca="false">IF(OR(Z20="",AA20=""),"",Z20*AA20)</f>
        <v/>
      </c>
      <c r="AC20" s="20"/>
      <c r="AD20" s="11"/>
      <c r="AE20" s="20"/>
      <c r="AF20" s="11"/>
      <c r="AG20" s="11"/>
    </row>
    <row r="21" customFormat="false" ht="15" hidden="false" customHeight="false" outlineLevel="0" collapsed="false">
      <c r="A21" s="11"/>
      <c r="B21" s="11"/>
      <c r="C21" s="20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20"/>
      <c r="W21" s="20"/>
      <c r="X21" s="20"/>
      <c r="Y21" s="11"/>
      <c r="Z21" s="21"/>
      <c r="AA21" s="22" t="str">
        <f aca="false">IFERROR(INDEX(Lists!$F$2:$F$15,MATCH(Y21,Lists!$E$2:$E$15,0)),"")</f>
        <v/>
      </c>
      <c r="AB21" s="21" t="str">
        <f aca="false">IF(OR(Z21="",AA21=""),"",Z21*AA21)</f>
        <v/>
      </c>
      <c r="AC21" s="20"/>
      <c r="AD21" s="11"/>
      <c r="AE21" s="20"/>
      <c r="AF21" s="11"/>
      <c r="AG21" s="11"/>
    </row>
    <row r="22" customFormat="false" ht="15" hidden="false" customHeight="false" outlineLevel="0" collapsed="false">
      <c r="A22" s="11"/>
      <c r="B22" s="11"/>
      <c r="C22" s="20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20"/>
      <c r="W22" s="20"/>
      <c r="X22" s="20"/>
      <c r="Y22" s="11"/>
      <c r="Z22" s="21"/>
      <c r="AA22" s="22" t="str">
        <f aca="false">IFERROR(INDEX(Lists!$F$2:$F$15,MATCH(Y22,Lists!$E$2:$E$15,0)),"")</f>
        <v/>
      </c>
      <c r="AB22" s="21" t="str">
        <f aca="false">IF(OR(Z22="",AA22=""),"",Z22*AA22)</f>
        <v/>
      </c>
      <c r="AC22" s="20"/>
      <c r="AD22" s="11"/>
      <c r="AE22" s="20"/>
      <c r="AF22" s="11"/>
      <c r="AG22" s="11"/>
    </row>
    <row r="23" customFormat="false" ht="15" hidden="false" customHeight="false" outlineLevel="0" collapsed="false">
      <c r="A23" s="11"/>
      <c r="B23" s="11"/>
      <c r="C23" s="20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20"/>
      <c r="W23" s="20"/>
      <c r="X23" s="20"/>
      <c r="Y23" s="11"/>
      <c r="Z23" s="21"/>
      <c r="AA23" s="22" t="str">
        <f aca="false">IFERROR(INDEX(Lists!$F$2:$F$15,MATCH(Y23,Lists!$E$2:$E$15,0)),"")</f>
        <v/>
      </c>
      <c r="AB23" s="21" t="str">
        <f aca="false">IF(OR(Z23="",AA23=""),"",Z23*AA23)</f>
        <v/>
      </c>
      <c r="AC23" s="20"/>
      <c r="AD23" s="11"/>
      <c r="AE23" s="20"/>
      <c r="AF23" s="11"/>
      <c r="AG23" s="11"/>
    </row>
    <row r="24" customFormat="false" ht="15" hidden="false" customHeight="false" outlineLevel="0" collapsed="false">
      <c r="A24" s="11"/>
      <c r="B24" s="11"/>
      <c r="C24" s="2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20"/>
      <c r="W24" s="20"/>
      <c r="X24" s="20"/>
      <c r="Y24" s="11"/>
      <c r="Z24" s="21"/>
      <c r="AA24" s="22" t="str">
        <f aca="false">IFERROR(INDEX(Lists!$F$2:$F$15,MATCH(Y24,Lists!$E$2:$E$15,0)),"")</f>
        <v/>
      </c>
      <c r="AB24" s="21" t="str">
        <f aca="false">IF(OR(Z24="",AA24=""),"",Z24*AA24)</f>
        <v/>
      </c>
      <c r="AC24" s="20"/>
      <c r="AD24" s="11"/>
      <c r="AE24" s="20"/>
      <c r="AF24" s="11"/>
      <c r="AG24" s="11"/>
    </row>
    <row r="25" customFormat="false" ht="15" hidden="false" customHeight="false" outlineLevel="0" collapsed="false">
      <c r="A25" s="11"/>
      <c r="B25" s="11"/>
      <c r="C25" s="20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20"/>
      <c r="W25" s="20"/>
      <c r="X25" s="20"/>
      <c r="Y25" s="11"/>
      <c r="Z25" s="21"/>
      <c r="AA25" s="22" t="str">
        <f aca="false">IFERROR(INDEX(Lists!$F$2:$F$15,MATCH(Y25,Lists!$E$2:$E$15,0)),"")</f>
        <v/>
      </c>
      <c r="AB25" s="21" t="str">
        <f aca="false">IF(OR(Z25="",AA25=""),"",Z25*AA25)</f>
        <v/>
      </c>
      <c r="AC25" s="20"/>
      <c r="AD25" s="11"/>
      <c r="AE25" s="20"/>
      <c r="AF25" s="11"/>
      <c r="AG25" s="11"/>
    </row>
    <row r="26" customFormat="false" ht="15" hidden="false" customHeight="false" outlineLevel="0" collapsed="false">
      <c r="A26" s="11"/>
      <c r="B26" s="11"/>
      <c r="C26" s="20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20"/>
      <c r="W26" s="20"/>
      <c r="X26" s="20"/>
      <c r="Y26" s="11"/>
      <c r="Z26" s="21"/>
      <c r="AA26" s="22" t="str">
        <f aca="false">IFERROR(INDEX(Lists!$F$2:$F$15,MATCH(Y26,Lists!$E$2:$E$15,0)),"")</f>
        <v/>
      </c>
      <c r="AB26" s="21" t="str">
        <f aca="false">IF(OR(Z26="",AA26=""),"",Z26*AA26)</f>
        <v/>
      </c>
      <c r="AC26" s="20"/>
      <c r="AD26" s="11"/>
      <c r="AE26" s="20"/>
      <c r="AF26" s="11"/>
      <c r="AG26" s="11"/>
    </row>
    <row r="27" customFormat="false" ht="15" hidden="false" customHeight="false" outlineLevel="0" collapsed="false">
      <c r="A27" s="11"/>
      <c r="B27" s="11"/>
      <c r="C27" s="20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20"/>
      <c r="W27" s="20"/>
      <c r="X27" s="20"/>
      <c r="Y27" s="11"/>
      <c r="Z27" s="21"/>
      <c r="AA27" s="22" t="str">
        <f aca="false">IFERROR(INDEX(Lists!$F$2:$F$15,MATCH(Y27,Lists!$E$2:$E$15,0)),"")</f>
        <v/>
      </c>
      <c r="AB27" s="21" t="str">
        <f aca="false">IF(OR(Z27="",AA27=""),"",Z27*AA27)</f>
        <v/>
      </c>
      <c r="AC27" s="20"/>
      <c r="AD27" s="11"/>
      <c r="AE27" s="20"/>
      <c r="AF27" s="11"/>
      <c r="AG27" s="11"/>
    </row>
    <row r="28" customFormat="false" ht="15" hidden="false" customHeight="false" outlineLevel="0" collapsed="false">
      <c r="A28" s="11"/>
      <c r="B28" s="11"/>
      <c r="C28" s="2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20"/>
      <c r="W28" s="20"/>
      <c r="X28" s="20"/>
      <c r="Y28" s="11"/>
      <c r="Z28" s="21"/>
      <c r="AA28" s="22" t="str">
        <f aca="false">IFERROR(INDEX(Lists!$F$2:$F$15,MATCH(Y28,Lists!$E$2:$E$15,0)),"")</f>
        <v/>
      </c>
      <c r="AB28" s="21" t="str">
        <f aca="false">IF(OR(Z28="",AA28=""),"",Z28*AA28)</f>
        <v/>
      </c>
      <c r="AC28" s="20"/>
      <c r="AD28" s="11"/>
      <c r="AE28" s="20"/>
      <c r="AF28" s="11"/>
      <c r="AG28" s="11"/>
    </row>
    <row r="29" customFormat="false" ht="15" hidden="false" customHeight="false" outlineLevel="0" collapsed="false">
      <c r="A29" s="11"/>
      <c r="B29" s="11"/>
      <c r="C29" s="2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20"/>
      <c r="W29" s="20"/>
      <c r="X29" s="20"/>
      <c r="Y29" s="11"/>
      <c r="Z29" s="21"/>
      <c r="AA29" s="22" t="str">
        <f aca="false">IFERROR(INDEX(Lists!$F$2:$F$15,MATCH(Y29,Lists!$E$2:$E$15,0)),"")</f>
        <v/>
      </c>
      <c r="AB29" s="21" t="str">
        <f aca="false">IF(OR(Z29="",AA29=""),"",Z29*AA29)</f>
        <v/>
      </c>
      <c r="AC29" s="20"/>
      <c r="AD29" s="11"/>
      <c r="AE29" s="20"/>
      <c r="AF29" s="11"/>
      <c r="AG29" s="11"/>
    </row>
    <row r="30" customFormat="false" ht="15" hidden="false" customHeight="false" outlineLevel="0" collapsed="false">
      <c r="A30" s="11"/>
      <c r="B30" s="11"/>
      <c r="C30" s="20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20"/>
      <c r="W30" s="20"/>
      <c r="X30" s="20"/>
      <c r="Y30" s="11"/>
      <c r="Z30" s="21"/>
      <c r="AA30" s="22" t="str">
        <f aca="false">IFERROR(INDEX(Lists!$F$2:$F$15,MATCH(Y30,Lists!$E$2:$E$15,0)),"")</f>
        <v/>
      </c>
      <c r="AB30" s="21" t="str">
        <f aca="false">IF(OR(Z30="",AA30=""),"",Z30*AA30)</f>
        <v/>
      </c>
      <c r="AC30" s="20"/>
      <c r="AD30" s="11"/>
      <c r="AE30" s="20"/>
      <c r="AF30" s="11"/>
      <c r="AG30" s="11"/>
    </row>
    <row r="31" customFormat="false" ht="15" hidden="false" customHeight="false" outlineLevel="0" collapsed="false">
      <c r="A31" s="11"/>
      <c r="B31" s="11"/>
      <c r="C31" s="20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20"/>
      <c r="W31" s="20"/>
      <c r="X31" s="20"/>
      <c r="Y31" s="11"/>
      <c r="Z31" s="21"/>
      <c r="AA31" s="22" t="str">
        <f aca="false">IFERROR(INDEX(Lists!$F$2:$F$15,MATCH(Y31,Lists!$E$2:$E$15,0)),"")</f>
        <v/>
      </c>
      <c r="AB31" s="21" t="str">
        <f aca="false">IF(OR(Z31="",AA31=""),"",Z31*AA31)</f>
        <v/>
      </c>
      <c r="AC31" s="20"/>
      <c r="AD31" s="11"/>
      <c r="AE31" s="20"/>
      <c r="AF31" s="11"/>
      <c r="AG31" s="11"/>
    </row>
    <row r="32" customFormat="false" ht="15" hidden="false" customHeight="false" outlineLevel="0" collapsed="false">
      <c r="A32" s="11"/>
      <c r="B32" s="11"/>
      <c r="C32" s="20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20"/>
      <c r="W32" s="20"/>
      <c r="X32" s="20"/>
      <c r="Y32" s="11"/>
      <c r="Z32" s="21"/>
      <c r="AA32" s="22" t="str">
        <f aca="false">IFERROR(INDEX(Lists!$F$2:$F$15,MATCH(Y32,Lists!$E$2:$E$15,0)),"")</f>
        <v/>
      </c>
      <c r="AB32" s="21" t="str">
        <f aca="false">IF(OR(Z32="",AA32=""),"",Z32*AA32)</f>
        <v/>
      </c>
      <c r="AC32" s="20"/>
      <c r="AD32" s="11"/>
      <c r="AE32" s="20"/>
      <c r="AF32" s="11"/>
      <c r="AG32" s="11"/>
    </row>
    <row r="33" customFormat="false" ht="15" hidden="false" customHeight="false" outlineLevel="0" collapsed="false">
      <c r="A33" s="11"/>
      <c r="B33" s="11"/>
      <c r="C33" s="20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20"/>
      <c r="W33" s="20"/>
      <c r="X33" s="20"/>
      <c r="Y33" s="11"/>
      <c r="Z33" s="21"/>
      <c r="AA33" s="22" t="str">
        <f aca="false">IFERROR(INDEX(Lists!$F$2:$F$15,MATCH(Y33,Lists!$E$2:$E$15,0)),"")</f>
        <v/>
      </c>
      <c r="AB33" s="21" t="str">
        <f aca="false">IF(OR(Z33="",AA33=""),"",Z33*AA33)</f>
        <v/>
      </c>
      <c r="AC33" s="20"/>
      <c r="AD33" s="11"/>
      <c r="AE33" s="20"/>
      <c r="AF33" s="11"/>
      <c r="AG33" s="11"/>
    </row>
    <row r="34" customFormat="false" ht="15" hidden="false" customHeight="false" outlineLevel="0" collapsed="false">
      <c r="A34" s="11"/>
      <c r="B34" s="11"/>
      <c r="C34" s="20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20"/>
      <c r="W34" s="20"/>
      <c r="X34" s="20"/>
      <c r="Y34" s="11"/>
      <c r="Z34" s="21"/>
      <c r="AA34" s="22" t="str">
        <f aca="false">IFERROR(INDEX(Lists!$F$2:$F$15,MATCH(Y34,Lists!$E$2:$E$15,0)),"")</f>
        <v/>
      </c>
      <c r="AB34" s="21" t="str">
        <f aca="false">IF(OR(Z34="",AA34=""),"",Z34*AA34)</f>
        <v/>
      </c>
      <c r="AC34" s="20"/>
      <c r="AD34" s="11"/>
      <c r="AE34" s="20"/>
      <c r="AF34" s="11"/>
      <c r="AG34" s="11"/>
    </row>
    <row r="35" customFormat="false" ht="15" hidden="false" customHeight="false" outlineLevel="0" collapsed="false">
      <c r="A35" s="11"/>
      <c r="B35" s="11"/>
      <c r="C35" s="20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20"/>
      <c r="W35" s="20"/>
      <c r="X35" s="20"/>
      <c r="Y35" s="11"/>
      <c r="Z35" s="21"/>
      <c r="AA35" s="22" t="str">
        <f aca="false">IFERROR(INDEX(Lists!$F$2:$F$15,MATCH(Y35,Lists!$E$2:$E$15,0)),"")</f>
        <v/>
      </c>
      <c r="AB35" s="21" t="str">
        <f aca="false">IF(OR(Z35="",AA35=""),"",Z35*AA35)</f>
        <v/>
      </c>
      <c r="AC35" s="20"/>
      <c r="AD35" s="11"/>
      <c r="AE35" s="20"/>
      <c r="AF35" s="11"/>
      <c r="AG35" s="11"/>
    </row>
    <row r="36" customFormat="false" ht="15" hidden="false" customHeight="false" outlineLevel="0" collapsed="false">
      <c r="A36" s="11"/>
      <c r="B36" s="11"/>
      <c r="C36" s="20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20"/>
      <c r="W36" s="20"/>
      <c r="X36" s="20"/>
      <c r="Y36" s="11"/>
      <c r="Z36" s="21"/>
      <c r="AA36" s="22" t="str">
        <f aca="false">IFERROR(INDEX(Lists!$F$2:$F$15,MATCH(Y36,Lists!$E$2:$E$15,0)),"")</f>
        <v/>
      </c>
      <c r="AB36" s="21" t="str">
        <f aca="false">IF(OR(Z36="",AA36=""),"",Z36*AA36)</f>
        <v/>
      </c>
      <c r="AC36" s="20"/>
      <c r="AD36" s="11"/>
      <c r="AE36" s="20"/>
      <c r="AF36" s="11"/>
      <c r="AG36" s="11"/>
    </row>
    <row r="37" customFormat="false" ht="15" hidden="false" customHeight="false" outlineLevel="0" collapsed="false">
      <c r="A37" s="11"/>
      <c r="B37" s="11"/>
      <c r="C37" s="20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20"/>
      <c r="W37" s="20"/>
      <c r="X37" s="20"/>
      <c r="Y37" s="11"/>
      <c r="Z37" s="21"/>
      <c r="AA37" s="22" t="str">
        <f aca="false">IFERROR(INDEX(Lists!$F$2:$F$15,MATCH(Y37,Lists!$E$2:$E$15,0)),"")</f>
        <v/>
      </c>
      <c r="AB37" s="21" t="str">
        <f aca="false">IF(OR(Z37="",AA37=""),"",Z37*AA37)</f>
        <v/>
      </c>
      <c r="AC37" s="20"/>
      <c r="AD37" s="11"/>
      <c r="AE37" s="20"/>
      <c r="AF37" s="11"/>
      <c r="AG37" s="11"/>
    </row>
    <row r="38" customFormat="false" ht="15" hidden="false" customHeight="false" outlineLevel="0" collapsed="false">
      <c r="A38" s="11"/>
      <c r="B38" s="11"/>
      <c r="C38" s="2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20"/>
      <c r="W38" s="20"/>
      <c r="X38" s="20"/>
      <c r="Y38" s="11"/>
      <c r="Z38" s="21"/>
      <c r="AA38" s="22" t="str">
        <f aca="false">IFERROR(INDEX(Lists!$F$2:$F$15,MATCH(Y38,Lists!$E$2:$E$15,0)),"")</f>
        <v/>
      </c>
      <c r="AB38" s="21" t="str">
        <f aca="false">IF(OR(Z38="",AA38=""),"",Z38*AA38)</f>
        <v/>
      </c>
      <c r="AC38" s="20"/>
      <c r="AD38" s="11"/>
      <c r="AE38" s="20"/>
      <c r="AF38" s="11"/>
      <c r="AG38" s="11"/>
    </row>
    <row r="39" customFormat="false" ht="15" hidden="false" customHeight="false" outlineLevel="0" collapsed="false">
      <c r="A39" s="11"/>
      <c r="B39" s="11"/>
      <c r="C39" s="2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20"/>
      <c r="W39" s="20"/>
      <c r="X39" s="20"/>
      <c r="Y39" s="11"/>
      <c r="Z39" s="21"/>
      <c r="AA39" s="22" t="str">
        <f aca="false">IFERROR(INDEX(Lists!$F$2:$F$15,MATCH(Y39,Lists!$E$2:$E$15,0)),"")</f>
        <v/>
      </c>
      <c r="AB39" s="21" t="str">
        <f aca="false">IF(OR(Z39="",AA39=""),"",Z39*AA39)</f>
        <v/>
      </c>
      <c r="AC39" s="20"/>
      <c r="AD39" s="11"/>
      <c r="AE39" s="20"/>
      <c r="AF39" s="11"/>
      <c r="AG39" s="11"/>
    </row>
    <row r="40" customFormat="false" ht="15" hidden="false" customHeight="false" outlineLevel="0" collapsed="false">
      <c r="A40" s="11"/>
      <c r="B40" s="11"/>
      <c r="C40" s="2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20"/>
      <c r="W40" s="20"/>
      <c r="X40" s="20"/>
      <c r="Y40" s="11"/>
      <c r="Z40" s="21"/>
      <c r="AA40" s="22" t="str">
        <f aca="false">IFERROR(INDEX(Lists!$F$2:$F$15,MATCH(Y40,Lists!$E$2:$E$15,0)),"")</f>
        <v/>
      </c>
      <c r="AB40" s="21" t="str">
        <f aca="false">IF(OR(Z40="",AA40=""),"",Z40*AA40)</f>
        <v/>
      </c>
      <c r="AC40" s="20"/>
      <c r="AD40" s="11"/>
      <c r="AE40" s="20"/>
      <c r="AF40" s="11"/>
      <c r="AG40" s="11"/>
    </row>
    <row r="41" customFormat="false" ht="15" hidden="false" customHeight="false" outlineLevel="0" collapsed="false">
      <c r="A41" s="11"/>
      <c r="B41" s="11"/>
      <c r="C41" s="2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20"/>
      <c r="W41" s="20"/>
      <c r="X41" s="20"/>
      <c r="Y41" s="11"/>
      <c r="Z41" s="21"/>
      <c r="AA41" s="22" t="str">
        <f aca="false">IFERROR(INDEX(Lists!$F$2:$F$15,MATCH(Y41,Lists!$E$2:$E$15,0)),"")</f>
        <v/>
      </c>
      <c r="AB41" s="21" t="str">
        <f aca="false">IF(OR(Z41="",AA41=""),"",Z41*AA41)</f>
        <v/>
      </c>
      <c r="AC41" s="20"/>
      <c r="AD41" s="11"/>
      <c r="AE41" s="20"/>
      <c r="AF41" s="11"/>
      <c r="AG41" s="11"/>
    </row>
    <row r="42" customFormat="false" ht="15" hidden="false" customHeight="false" outlineLevel="0" collapsed="false">
      <c r="A42" s="11"/>
      <c r="B42" s="11"/>
      <c r="C42" s="2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20"/>
      <c r="W42" s="20"/>
      <c r="X42" s="20"/>
      <c r="Y42" s="11"/>
      <c r="Z42" s="21"/>
      <c r="AA42" s="22" t="str">
        <f aca="false">IFERROR(INDEX(Lists!$F$2:$F$15,MATCH(Y42,Lists!$E$2:$E$15,0)),"")</f>
        <v/>
      </c>
      <c r="AB42" s="21" t="str">
        <f aca="false">IF(OR(Z42="",AA42=""),"",Z42*AA42)</f>
        <v/>
      </c>
      <c r="AC42" s="20"/>
      <c r="AD42" s="11"/>
      <c r="AE42" s="20"/>
      <c r="AF42" s="11"/>
      <c r="AG42" s="11"/>
    </row>
    <row r="43" customFormat="false" ht="15" hidden="false" customHeight="false" outlineLevel="0" collapsed="false">
      <c r="A43" s="11"/>
      <c r="B43" s="11"/>
      <c r="C43" s="2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20"/>
      <c r="W43" s="20"/>
      <c r="X43" s="20"/>
      <c r="Y43" s="11"/>
      <c r="Z43" s="21"/>
      <c r="AA43" s="22" t="str">
        <f aca="false">IFERROR(INDEX(Lists!$F$2:$F$15,MATCH(Y43,Lists!$E$2:$E$15,0)),"")</f>
        <v/>
      </c>
      <c r="AB43" s="21" t="str">
        <f aca="false">IF(OR(Z43="",AA43=""),"",Z43*AA43)</f>
        <v/>
      </c>
      <c r="AC43" s="20"/>
      <c r="AD43" s="11"/>
      <c r="AE43" s="20"/>
      <c r="AF43" s="11"/>
      <c r="AG43" s="11"/>
    </row>
    <row r="44" customFormat="false" ht="15" hidden="false" customHeight="false" outlineLevel="0" collapsed="false">
      <c r="A44" s="11"/>
      <c r="B44" s="11"/>
      <c r="C44" s="2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20"/>
      <c r="W44" s="20"/>
      <c r="X44" s="20"/>
      <c r="Y44" s="11"/>
      <c r="Z44" s="21"/>
      <c r="AA44" s="22" t="str">
        <f aca="false">IFERROR(INDEX(Lists!$F$2:$F$15,MATCH(Y44,Lists!$E$2:$E$15,0)),"")</f>
        <v/>
      </c>
      <c r="AB44" s="21" t="str">
        <f aca="false">IF(OR(Z44="",AA44=""),"",Z44*AA44)</f>
        <v/>
      </c>
      <c r="AC44" s="20"/>
      <c r="AD44" s="11"/>
      <c r="AE44" s="20"/>
      <c r="AF44" s="11"/>
      <c r="AG44" s="11"/>
    </row>
    <row r="45" customFormat="false" ht="15" hidden="false" customHeight="false" outlineLevel="0" collapsed="false">
      <c r="A45" s="11"/>
      <c r="B45" s="11"/>
      <c r="C45" s="2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20"/>
      <c r="W45" s="20"/>
      <c r="X45" s="20"/>
      <c r="Y45" s="11"/>
      <c r="Z45" s="21"/>
      <c r="AA45" s="22" t="str">
        <f aca="false">IFERROR(INDEX(Lists!$F$2:$F$15,MATCH(Y45,Lists!$E$2:$E$15,0)),"")</f>
        <v/>
      </c>
      <c r="AB45" s="21" t="str">
        <f aca="false">IF(OR(Z45="",AA45=""),"",Z45*AA45)</f>
        <v/>
      </c>
      <c r="AC45" s="20"/>
      <c r="AD45" s="11"/>
      <c r="AE45" s="20"/>
      <c r="AF45" s="11"/>
      <c r="AG45" s="11"/>
    </row>
    <row r="46" customFormat="false" ht="15" hidden="false" customHeight="false" outlineLevel="0" collapsed="false">
      <c r="A46" s="11"/>
      <c r="B46" s="11"/>
      <c r="C46" s="2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20"/>
      <c r="W46" s="20"/>
      <c r="X46" s="20"/>
      <c r="Y46" s="11"/>
      <c r="Z46" s="21"/>
      <c r="AA46" s="22" t="str">
        <f aca="false">IFERROR(INDEX(Lists!$F$2:$F$15,MATCH(Y46,Lists!$E$2:$E$15,0)),"")</f>
        <v/>
      </c>
      <c r="AB46" s="21" t="str">
        <f aca="false">IF(OR(Z46="",AA46=""),"",Z46*AA46)</f>
        <v/>
      </c>
      <c r="AC46" s="20"/>
      <c r="AD46" s="11"/>
      <c r="AE46" s="20"/>
      <c r="AF46" s="11"/>
      <c r="AG46" s="11"/>
    </row>
    <row r="47" customFormat="false" ht="15" hidden="false" customHeight="false" outlineLevel="0" collapsed="false">
      <c r="A47" s="11"/>
      <c r="B47" s="11"/>
      <c r="C47" s="2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20"/>
      <c r="W47" s="20"/>
      <c r="X47" s="20"/>
      <c r="Y47" s="11"/>
      <c r="Z47" s="21"/>
      <c r="AA47" s="22" t="str">
        <f aca="false">IFERROR(INDEX(Lists!$F$2:$F$15,MATCH(Y47,Lists!$E$2:$E$15,0)),"")</f>
        <v/>
      </c>
      <c r="AB47" s="21" t="str">
        <f aca="false">IF(OR(Z47="",AA47=""),"",Z47*AA47)</f>
        <v/>
      </c>
      <c r="AC47" s="20"/>
      <c r="AD47" s="11"/>
      <c r="AE47" s="20"/>
      <c r="AF47" s="11"/>
      <c r="AG47" s="11"/>
    </row>
    <row r="48" customFormat="false" ht="15" hidden="false" customHeight="false" outlineLevel="0" collapsed="false">
      <c r="A48" s="11"/>
      <c r="B48" s="11"/>
      <c r="C48" s="2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20"/>
      <c r="W48" s="20"/>
      <c r="X48" s="20"/>
      <c r="Y48" s="11"/>
      <c r="Z48" s="21"/>
      <c r="AA48" s="22" t="str">
        <f aca="false">IFERROR(INDEX(Lists!$F$2:$F$15,MATCH(Y48,Lists!$E$2:$E$15,0)),"")</f>
        <v/>
      </c>
      <c r="AB48" s="21" t="str">
        <f aca="false">IF(OR(Z48="",AA48=""),"",Z48*AA48)</f>
        <v/>
      </c>
      <c r="AC48" s="20"/>
      <c r="AD48" s="11"/>
      <c r="AE48" s="20"/>
      <c r="AF48" s="11"/>
      <c r="AG48" s="11"/>
    </row>
    <row r="49" customFormat="false" ht="15" hidden="false" customHeight="false" outlineLevel="0" collapsed="false">
      <c r="A49" s="11"/>
      <c r="B49" s="11"/>
      <c r="C49" s="2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20"/>
      <c r="W49" s="20"/>
      <c r="X49" s="20"/>
      <c r="Y49" s="11"/>
      <c r="Z49" s="21"/>
      <c r="AA49" s="22" t="str">
        <f aca="false">IFERROR(INDEX(Lists!$F$2:$F$15,MATCH(Y49,Lists!$E$2:$E$15,0)),"")</f>
        <v/>
      </c>
      <c r="AB49" s="21" t="str">
        <f aca="false">IF(OR(Z49="",AA49=""),"",Z49*AA49)</f>
        <v/>
      </c>
      <c r="AC49" s="20"/>
      <c r="AD49" s="11"/>
      <c r="AE49" s="20"/>
      <c r="AF49" s="11"/>
      <c r="AG49" s="11"/>
    </row>
    <row r="50" customFormat="false" ht="15" hidden="false" customHeight="false" outlineLevel="0" collapsed="false">
      <c r="A50" s="11"/>
      <c r="B50" s="11"/>
      <c r="C50" s="2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20"/>
      <c r="W50" s="20"/>
      <c r="X50" s="20"/>
      <c r="Y50" s="11"/>
      <c r="Z50" s="21"/>
      <c r="AA50" s="22" t="str">
        <f aca="false">IFERROR(INDEX(Lists!$F$2:$F$15,MATCH(Y50,Lists!$E$2:$E$15,0)),"")</f>
        <v/>
      </c>
      <c r="AB50" s="21" t="str">
        <f aca="false">IF(OR(Z50="",AA50=""),"",Z50*AA50)</f>
        <v/>
      </c>
      <c r="AC50" s="20"/>
      <c r="AD50" s="11"/>
      <c r="AE50" s="20"/>
      <c r="AF50" s="11"/>
      <c r="AG50" s="11"/>
    </row>
    <row r="51" customFormat="false" ht="15" hidden="false" customHeight="false" outlineLevel="0" collapsed="false">
      <c r="A51" s="11"/>
      <c r="B51" s="11"/>
      <c r="C51" s="2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20"/>
      <c r="W51" s="20"/>
      <c r="X51" s="20"/>
      <c r="Y51" s="11"/>
      <c r="Z51" s="21"/>
      <c r="AA51" s="22" t="str">
        <f aca="false">IFERROR(INDEX(Lists!$F$2:$F$15,MATCH(Y51,Lists!$E$2:$E$15,0)),"")</f>
        <v/>
      </c>
      <c r="AB51" s="21" t="str">
        <f aca="false">IF(OR(Z51="",AA51=""),"",Z51*AA51)</f>
        <v/>
      </c>
      <c r="AC51" s="20"/>
      <c r="AD51" s="11"/>
      <c r="AE51" s="20"/>
      <c r="AF51" s="11"/>
      <c r="AG51" s="11"/>
    </row>
    <row r="52" customFormat="false" ht="15" hidden="false" customHeight="false" outlineLevel="0" collapsed="false">
      <c r="A52" s="11"/>
      <c r="B52" s="11"/>
      <c r="C52" s="2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20"/>
      <c r="W52" s="20"/>
      <c r="X52" s="20"/>
      <c r="Y52" s="11"/>
      <c r="Z52" s="21"/>
      <c r="AA52" s="22" t="str">
        <f aca="false">IFERROR(INDEX(Lists!$F$2:$F$15,MATCH(Y52,Lists!$E$2:$E$15,0)),"")</f>
        <v/>
      </c>
      <c r="AB52" s="21" t="str">
        <f aca="false">IF(OR(Z52="",AA52=""),"",Z52*AA52)</f>
        <v/>
      </c>
      <c r="AC52" s="20"/>
      <c r="AD52" s="11"/>
      <c r="AE52" s="20"/>
      <c r="AF52" s="11"/>
      <c r="AG52" s="11"/>
    </row>
    <row r="53" customFormat="false" ht="15" hidden="false" customHeight="false" outlineLevel="0" collapsed="false">
      <c r="A53" s="11"/>
      <c r="B53" s="11"/>
      <c r="C53" s="2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20"/>
      <c r="W53" s="20"/>
      <c r="X53" s="20"/>
      <c r="Y53" s="11"/>
      <c r="Z53" s="21"/>
      <c r="AA53" s="22" t="str">
        <f aca="false">IFERROR(INDEX(Lists!$F$2:$F$15,MATCH(Y53,Lists!$E$2:$E$15,0)),"")</f>
        <v/>
      </c>
      <c r="AB53" s="21" t="str">
        <f aca="false">IF(OR(Z53="",AA53=""),"",Z53*AA53)</f>
        <v/>
      </c>
      <c r="AC53" s="20"/>
      <c r="AD53" s="11"/>
      <c r="AE53" s="20"/>
      <c r="AF53" s="11"/>
      <c r="AG53" s="11"/>
    </row>
    <row r="54" customFormat="false" ht="15" hidden="false" customHeight="false" outlineLevel="0" collapsed="false">
      <c r="A54" s="11"/>
      <c r="B54" s="11"/>
      <c r="C54" s="2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20"/>
      <c r="W54" s="20"/>
      <c r="X54" s="20"/>
      <c r="Y54" s="11"/>
      <c r="Z54" s="21"/>
      <c r="AA54" s="22" t="str">
        <f aca="false">IFERROR(INDEX(Lists!$F$2:$F$15,MATCH(Y54,Lists!$E$2:$E$15,0)),"")</f>
        <v/>
      </c>
      <c r="AB54" s="21" t="str">
        <f aca="false">IF(OR(Z54="",AA54=""),"",Z54*AA54)</f>
        <v/>
      </c>
      <c r="AC54" s="20"/>
      <c r="AD54" s="11"/>
      <c r="AE54" s="20"/>
      <c r="AF54" s="11"/>
      <c r="AG54" s="11"/>
    </row>
    <row r="55" customFormat="false" ht="15" hidden="false" customHeight="false" outlineLevel="0" collapsed="false">
      <c r="A55" s="11"/>
      <c r="B55" s="11"/>
      <c r="C55" s="2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20"/>
      <c r="W55" s="20"/>
      <c r="X55" s="20"/>
      <c r="Y55" s="11"/>
      <c r="Z55" s="21"/>
      <c r="AA55" s="22" t="str">
        <f aca="false">IFERROR(INDEX(Lists!$F$2:$F$15,MATCH(Y55,Lists!$E$2:$E$15,0)),"")</f>
        <v/>
      </c>
      <c r="AB55" s="21" t="str">
        <f aca="false">IF(OR(Z55="",AA55=""),"",Z55*AA55)</f>
        <v/>
      </c>
      <c r="AC55" s="20"/>
      <c r="AD55" s="11"/>
      <c r="AE55" s="20"/>
      <c r="AF55" s="11"/>
      <c r="AG55" s="11"/>
    </row>
    <row r="56" customFormat="false" ht="15" hidden="false" customHeight="false" outlineLevel="0" collapsed="false">
      <c r="A56" s="11"/>
      <c r="B56" s="11"/>
      <c r="C56" s="2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20"/>
      <c r="W56" s="20"/>
      <c r="X56" s="20"/>
      <c r="Y56" s="11"/>
      <c r="Z56" s="21"/>
      <c r="AA56" s="22" t="str">
        <f aca="false">IFERROR(INDEX(Lists!$F$2:$F$15,MATCH(Y56,Lists!$E$2:$E$15,0)),"")</f>
        <v/>
      </c>
      <c r="AB56" s="21" t="str">
        <f aca="false">IF(OR(Z56="",AA56=""),"",Z56*AA56)</f>
        <v/>
      </c>
      <c r="AC56" s="20"/>
      <c r="AD56" s="11"/>
      <c r="AE56" s="20"/>
      <c r="AF56" s="11"/>
      <c r="AG56" s="11"/>
    </row>
    <row r="57" customFormat="false" ht="15" hidden="false" customHeight="false" outlineLevel="0" collapsed="false">
      <c r="A57" s="11"/>
      <c r="B57" s="11"/>
      <c r="C57" s="2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20"/>
      <c r="W57" s="20"/>
      <c r="X57" s="20"/>
      <c r="Y57" s="11"/>
      <c r="Z57" s="21"/>
      <c r="AA57" s="22" t="str">
        <f aca="false">IFERROR(INDEX(Lists!$F$2:$F$15,MATCH(Y57,Lists!$E$2:$E$15,0)),"")</f>
        <v/>
      </c>
      <c r="AB57" s="21" t="str">
        <f aca="false">IF(OR(Z57="",AA57=""),"",Z57*AA57)</f>
        <v/>
      </c>
      <c r="AC57" s="20"/>
      <c r="AD57" s="11"/>
      <c r="AE57" s="20"/>
      <c r="AF57" s="11"/>
      <c r="AG57" s="11"/>
    </row>
    <row r="58" customFormat="false" ht="15" hidden="false" customHeight="false" outlineLevel="0" collapsed="false">
      <c r="A58" s="11"/>
      <c r="B58" s="11"/>
      <c r="C58" s="2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20"/>
      <c r="W58" s="20"/>
      <c r="X58" s="20"/>
      <c r="Y58" s="11"/>
      <c r="Z58" s="21"/>
      <c r="AA58" s="22" t="str">
        <f aca="false">IFERROR(INDEX(Lists!$F$2:$F$15,MATCH(Y58,Lists!$E$2:$E$15,0)),"")</f>
        <v/>
      </c>
      <c r="AB58" s="21" t="str">
        <f aca="false">IF(OR(Z58="",AA58=""),"",Z58*AA58)</f>
        <v/>
      </c>
      <c r="AC58" s="20"/>
      <c r="AD58" s="11"/>
      <c r="AE58" s="20"/>
      <c r="AF58" s="11"/>
      <c r="AG58" s="11"/>
    </row>
    <row r="59" customFormat="false" ht="15" hidden="false" customHeight="false" outlineLevel="0" collapsed="false">
      <c r="A59" s="11"/>
      <c r="B59" s="11"/>
      <c r="C59" s="2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20"/>
      <c r="W59" s="20"/>
      <c r="X59" s="20"/>
      <c r="Y59" s="11"/>
      <c r="Z59" s="21"/>
      <c r="AA59" s="22" t="str">
        <f aca="false">IFERROR(INDEX(Lists!$F$2:$F$15,MATCH(Y59,Lists!$E$2:$E$15,0)),"")</f>
        <v/>
      </c>
      <c r="AB59" s="21" t="str">
        <f aca="false">IF(OR(Z59="",AA59=""),"",Z59*AA59)</f>
        <v/>
      </c>
      <c r="AC59" s="20"/>
      <c r="AD59" s="11"/>
      <c r="AE59" s="20"/>
      <c r="AF59" s="11"/>
      <c r="AG59" s="11"/>
    </row>
    <row r="60" customFormat="false" ht="15" hidden="false" customHeight="false" outlineLevel="0" collapsed="false">
      <c r="A60" s="11"/>
      <c r="B60" s="11"/>
      <c r="C60" s="2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20"/>
      <c r="W60" s="20"/>
      <c r="X60" s="20"/>
      <c r="Y60" s="11"/>
      <c r="Z60" s="21"/>
      <c r="AA60" s="22" t="str">
        <f aca="false">IFERROR(INDEX(Lists!$F$2:$F$15,MATCH(Y60,Lists!$E$2:$E$15,0)),"")</f>
        <v/>
      </c>
      <c r="AB60" s="21" t="str">
        <f aca="false">IF(OR(Z60="",AA60=""),"",Z60*AA60)</f>
        <v/>
      </c>
      <c r="AC60" s="20"/>
      <c r="AD60" s="11"/>
      <c r="AE60" s="20"/>
      <c r="AF60" s="11"/>
      <c r="AG60" s="11"/>
    </row>
    <row r="61" customFormat="false" ht="15" hidden="false" customHeight="false" outlineLevel="0" collapsed="false">
      <c r="A61" s="11"/>
      <c r="B61" s="11"/>
      <c r="C61" s="2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20"/>
      <c r="W61" s="20"/>
      <c r="X61" s="20"/>
      <c r="Y61" s="11"/>
      <c r="Z61" s="21"/>
      <c r="AA61" s="22" t="str">
        <f aca="false">IFERROR(INDEX(Lists!$F$2:$F$15,MATCH(Y61,Lists!$E$2:$E$15,0)),"")</f>
        <v/>
      </c>
      <c r="AB61" s="21" t="str">
        <f aca="false">IF(OR(Z61="",AA61=""),"",Z61*AA61)</f>
        <v/>
      </c>
      <c r="AC61" s="20"/>
      <c r="AD61" s="11"/>
      <c r="AE61" s="20"/>
      <c r="AF61" s="11"/>
      <c r="AG61" s="11"/>
    </row>
    <row r="62" customFormat="false" ht="15" hidden="false" customHeight="false" outlineLevel="0" collapsed="false">
      <c r="A62" s="11"/>
      <c r="B62" s="11"/>
      <c r="C62" s="2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20"/>
      <c r="W62" s="20"/>
      <c r="X62" s="20"/>
      <c r="Y62" s="11"/>
      <c r="Z62" s="21"/>
      <c r="AA62" s="22" t="str">
        <f aca="false">IFERROR(INDEX(Lists!$F$2:$F$15,MATCH(Y62,Lists!$E$2:$E$15,0)),"")</f>
        <v/>
      </c>
      <c r="AB62" s="21" t="str">
        <f aca="false">IF(OR(Z62="",AA62=""),"",Z62*AA62)</f>
        <v/>
      </c>
      <c r="AC62" s="20"/>
      <c r="AD62" s="11"/>
      <c r="AE62" s="20"/>
      <c r="AF62" s="11"/>
      <c r="AG62" s="11"/>
    </row>
    <row r="63" customFormat="false" ht="15" hidden="false" customHeight="false" outlineLevel="0" collapsed="false">
      <c r="A63" s="11"/>
      <c r="B63" s="11"/>
      <c r="C63" s="2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20"/>
      <c r="W63" s="20"/>
      <c r="X63" s="20"/>
      <c r="Y63" s="11"/>
      <c r="Z63" s="21"/>
      <c r="AA63" s="22" t="str">
        <f aca="false">IFERROR(INDEX(Lists!$F$2:$F$15,MATCH(Y63,Lists!$E$2:$E$15,0)),"")</f>
        <v/>
      </c>
      <c r="AB63" s="21" t="str">
        <f aca="false">IF(OR(Z63="",AA63=""),"",Z63*AA63)</f>
        <v/>
      </c>
      <c r="AC63" s="20"/>
      <c r="AD63" s="11"/>
      <c r="AE63" s="20"/>
      <c r="AF63" s="11"/>
      <c r="AG63" s="11"/>
    </row>
    <row r="64" customFormat="false" ht="15" hidden="false" customHeight="false" outlineLevel="0" collapsed="false">
      <c r="A64" s="11"/>
      <c r="B64" s="11"/>
      <c r="C64" s="2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20"/>
      <c r="W64" s="20"/>
      <c r="X64" s="20"/>
      <c r="Y64" s="11"/>
      <c r="Z64" s="21"/>
      <c r="AA64" s="22" t="str">
        <f aca="false">IFERROR(INDEX(Lists!$F$2:$F$15,MATCH(Y64,Lists!$E$2:$E$15,0)),"")</f>
        <v/>
      </c>
      <c r="AB64" s="21" t="str">
        <f aca="false">IF(OR(Z64="",AA64=""),"",Z64*AA64)</f>
        <v/>
      </c>
      <c r="AC64" s="20"/>
      <c r="AD64" s="11"/>
      <c r="AE64" s="20"/>
      <c r="AF64" s="11"/>
      <c r="AG64" s="11"/>
    </row>
    <row r="65" customFormat="false" ht="15" hidden="false" customHeight="false" outlineLevel="0" collapsed="false">
      <c r="A65" s="11"/>
      <c r="B65" s="11"/>
      <c r="C65" s="2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20"/>
      <c r="W65" s="20"/>
      <c r="X65" s="20"/>
      <c r="Y65" s="11"/>
      <c r="Z65" s="21"/>
      <c r="AA65" s="22" t="str">
        <f aca="false">IFERROR(INDEX(Lists!$F$2:$F$15,MATCH(Y65,Lists!$E$2:$E$15,0)),"")</f>
        <v/>
      </c>
      <c r="AB65" s="21" t="str">
        <f aca="false">IF(OR(Z65="",AA65=""),"",Z65*AA65)</f>
        <v/>
      </c>
      <c r="AC65" s="20"/>
      <c r="AD65" s="11"/>
      <c r="AE65" s="20"/>
      <c r="AF65" s="11"/>
      <c r="AG65" s="11"/>
    </row>
    <row r="66" customFormat="false" ht="15" hidden="false" customHeight="false" outlineLevel="0" collapsed="false">
      <c r="A66" s="11"/>
      <c r="B66" s="11"/>
      <c r="C66" s="2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20"/>
      <c r="W66" s="20"/>
      <c r="X66" s="20"/>
      <c r="Y66" s="11"/>
      <c r="Z66" s="21"/>
      <c r="AA66" s="22" t="str">
        <f aca="false">IFERROR(INDEX(Lists!$F$2:$F$15,MATCH(Y66,Lists!$E$2:$E$15,0)),"")</f>
        <v/>
      </c>
      <c r="AB66" s="21" t="str">
        <f aca="false">IF(OR(Z66="",AA66=""),"",Z66*AA66)</f>
        <v/>
      </c>
      <c r="AC66" s="20"/>
      <c r="AD66" s="11"/>
      <c r="AE66" s="20"/>
      <c r="AF66" s="11"/>
      <c r="AG66" s="11"/>
    </row>
    <row r="67" customFormat="false" ht="15" hidden="false" customHeight="false" outlineLevel="0" collapsed="false">
      <c r="A67" s="11"/>
      <c r="B67" s="11"/>
      <c r="C67" s="2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20"/>
      <c r="W67" s="20"/>
      <c r="X67" s="20"/>
      <c r="Y67" s="11"/>
      <c r="Z67" s="21"/>
      <c r="AA67" s="22" t="str">
        <f aca="false">IFERROR(INDEX(Lists!$F$2:$F$15,MATCH(Y67,Lists!$E$2:$E$15,0)),"")</f>
        <v/>
      </c>
      <c r="AB67" s="21" t="str">
        <f aca="false">IF(OR(Z67="",AA67=""),"",Z67*AA67)</f>
        <v/>
      </c>
      <c r="AC67" s="20"/>
      <c r="AD67" s="11"/>
      <c r="AE67" s="20"/>
      <c r="AF67" s="11"/>
      <c r="AG67" s="11"/>
    </row>
    <row r="68" customFormat="false" ht="15" hidden="false" customHeight="false" outlineLevel="0" collapsed="false">
      <c r="A68" s="11"/>
      <c r="B68" s="11"/>
      <c r="C68" s="2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20"/>
      <c r="W68" s="20"/>
      <c r="X68" s="20"/>
      <c r="Y68" s="11"/>
      <c r="Z68" s="21"/>
      <c r="AA68" s="22" t="str">
        <f aca="false">IFERROR(INDEX(Lists!$F$2:$F$15,MATCH(Y68,Lists!$E$2:$E$15,0)),"")</f>
        <v/>
      </c>
      <c r="AB68" s="21" t="str">
        <f aca="false">IF(OR(Z68="",AA68=""),"",Z68*AA68)</f>
        <v/>
      </c>
      <c r="AC68" s="20"/>
      <c r="AD68" s="11"/>
      <c r="AE68" s="20"/>
      <c r="AF68" s="11"/>
      <c r="AG68" s="11"/>
    </row>
    <row r="69" customFormat="false" ht="15" hidden="false" customHeight="false" outlineLevel="0" collapsed="false">
      <c r="A69" s="11"/>
      <c r="B69" s="11"/>
      <c r="C69" s="2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20"/>
      <c r="W69" s="20"/>
      <c r="X69" s="20"/>
      <c r="Y69" s="11"/>
      <c r="Z69" s="21"/>
      <c r="AA69" s="22" t="str">
        <f aca="false">IFERROR(INDEX(Lists!$F$2:$F$15,MATCH(Y69,Lists!$E$2:$E$15,0)),"")</f>
        <v/>
      </c>
      <c r="AB69" s="21" t="str">
        <f aca="false">IF(OR(Z69="",AA69=""),"",Z69*AA69)</f>
        <v/>
      </c>
      <c r="AC69" s="20"/>
      <c r="AD69" s="11"/>
      <c r="AE69" s="20"/>
      <c r="AF69" s="11"/>
      <c r="AG69" s="11"/>
    </row>
    <row r="70" customFormat="false" ht="15" hidden="false" customHeight="false" outlineLevel="0" collapsed="false">
      <c r="A70" s="11"/>
      <c r="B70" s="11"/>
      <c r="C70" s="2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20"/>
      <c r="W70" s="20"/>
      <c r="X70" s="20"/>
      <c r="Y70" s="11"/>
      <c r="Z70" s="21"/>
      <c r="AA70" s="22" t="str">
        <f aca="false">IFERROR(INDEX(Lists!$F$2:$F$15,MATCH(Y70,Lists!$E$2:$E$15,0)),"")</f>
        <v/>
      </c>
      <c r="AB70" s="21" t="str">
        <f aca="false">IF(OR(Z70="",AA70=""),"",Z70*AA70)</f>
        <v/>
      </c>
      <c r="AC70" s="20"/>
      <c r="AD70" s="11"/>
      <c r="AE70" s="20"/>
      <c r="AF70" s="11"/>
      <c r="AG70" s="11"/>
    </row>
    <row r="71" customFormat="false" ht="15" hidden="false" customHeight="false" outlineLevel="0" collapsed="false">
      <c r="A71" s="11"/>
      <c r="B71" s="11"/>
      <c r="C71" s="2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20"/>
      <c r="W71" s="20"/>
      <c r="X71" s="20"/>
      <c r="Y71" s="11"/>
      <c r="Z71" s="21"/>
      <c r="AA71" s="22" t="str">
        <f aca="false">IFERROR(INDEX(Lists!$F$2:$F$15,MATCH(Y71,Lists!$E$2:$E$15,0)),"")</f>
        <v/>
      </c>
      <c r="AB71" s="21" t="str">
        <f aca="false">IF(OR(Z71="",AA71=""),"",Z71*AA71)</f>
        <v/>
      </c>
      <c r="AC71" s="20"/>
      <c r="AD71" s="11"/>
      <c r="AE71" s="20"/>
      <c r="AF71" s="11"/>
      <c r="AG71" s="11"/>
    </row>
    <row r="72" customFormat="false" ht="15" hidden="false" customHeight="false" outlineLevel="0" collapsed="false">
      <c r="A72" s="11"/>
      <c r="B72" s="11"/>
      <c r="C72" s="2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20"/>
      <c r="W72" s="20"/>
      <c r="X72" s="20"/>
      <c r="Y72" s="11"/>
      <c r="Z72" s="21"/>
      <c r="AA72" s="22" t="str">
        <f aca="false">IFERROR(INDEX(Lists!$F$2:$F$15,MATCH(Y72,Lists!$E$2:$E$15,0)),"")</f>
        <v/>
      </c>
      <c r="AB72" s="21" t="str">
        <f aca="false">IF(OR(Z72="",AA72=""),"",Z72*AA72)</f>
        <v/>
      </c>
      <c r="AC72" s="20"/>
      <c r="AD72" s="11"/>
      <c r="AE72" s="20"/>
      <c r="AF72" s="11"/>
      <c r="AG72" s="11"/>
    </row>
    <row r="73" customFormat="false" ht="15" hidden="false" customHeight="false" outlineLevel="0" collapsed="false">
      <c r="A73" s="11"/>
      <c r="B73" s="11"/>
      <c r="C73" s="2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20"/>
      <c r="W73" s="20"/>
      <c r="X73" s="20"/>
      <c r="Y73" s="11"/>
      <c r="Z73" s="21"/>
      <c r="AA73" s="22" t="str">
        <f aca="false">IFERROR(INDEX(Lists!$F$2:$F$15,MATCH(Y73,Lists!$E$2:$E$15,0)),"")</f>
        <v/>
      </c>
      <c r="AB73" s="21" t="str">
        <f aca="false">IF(OR(Z73="",AA73=""),"",Z73*AA73)</f>
        <v/>
      </c>
      <c r="AC73" s="20"/>
      <c r="AD73" s="11"/>
      <c r="AE73" s="20"/>
      <c r="AF73" s="11"/>
      <c r="AG73" s="11"/>
    </row>
    <row r="74" customFormat="false" ht="15" hidden="false" customHeight="false" outlineLevel="0" collapsed="false">
      <c r="A74" s="11"/>
      <c r="B74" s="11"/>
      <c r="C74" s="2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20"/>
      <c r="W74" s="20"/>
      <c r="X74" s="20"/>
      <c r="Y74" s="11"/>
      <c r="Z74" s="21"/>
      <c r="AA74" s="22" t="str">
        <f aca="false">IFERROR(INDEX(Lists!$F$2:$F$15,MATCH(Y74,Lists!$E$2:$E$15,0)),"")</f>
        <v/>
      </c>
      <c r="AB74" s="21" t="str">
        <f aca="false">IF(OR(Z74="",AA74=""),"",Z74*AA74)</f>
        <v/>
      </c>
      <c r="AC74" s="20"/>
      <c r="AD74" s="11"/>
      <c r="AE74" s="20"/>
      <c r="AF74" s="11"/>
      <c r="AG74" s="11"/>
    </row>
    <row r="75" customFormat="false" ht="15" hidden="false" customHeight="false" outlineLevel="0" collapsed="false">
      <c r="A75" s="11"/>
      <c r="B75" s="11"/>
      <c r="C75" s="2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20"/>
      <c r="W75" s="20"/>
      <c r="X75" s="20"/>
      <c r="Y75" s="11"/>
      <c r="Z75" s="21"/>
      <c r="AA75" s="22" t="str">
        <f aca="false">IFERROR(INDEX(Lists!$F$2:$F$15,MATCH(Y75,Lists!$E$2:$E$15,0)),"")</f>
        <v/>
      </c>
      <c r="AB75" s="21" t="str">
        <f aca="false">IF(OR(Z75="",AA75=""),"",Z75*AA75)</f>
        <v/>
      </c>
      <c r="AC75" s="20"/>
      <c r="AD75" s="11"/>
      <c r="AE75" s="20"/>
      <c r="AF75" s="11"/>
      <c r="AG75" s="11"/>
    </row>
    <row r="76" customFormat="false" ht="15" hidden="false" customHeight="false" outlineLevel="0" collapsed="false">
      <c r="A76" s="11"/>
      <c r="B76" s="11"/>
      <c r="C76" s="2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20"/>
      <c r="W76" s="20"/>
      <c r="X76" s="20"/>
      <c r="Y76" s="11"/>
      <c r="Z76" s="21"/>
      <c r="AA76" s="22" t="str">
        <f aca="false">IFERROR(INDEX(Lists!$F$2:$F$15,MATCH(Y76,Lists!$E$2:$E$15,0)),"")</f>
        <v/>
      </c>
      <c r="AB76" s="21" t="str">
        <f aca="false">IF(OR(Z76="",AA76=""),"",Z76*AA76)</f>
        <v/>
      </c>
      <c r="AC76" s="20"/>
      <c r="AD76" s="11"/>
      <c r="AE76" s="20"/>
      <c r="AF76" s="11"/>
      <c r="AG76" s="11"/>
    </row>
    <row r="77" customFormat="false" ht="15" hidden="false" customHeight="false" outlineLevel="0" collapsed="false">
      <c r="A77" s="11"/>
      <c r="B77" s="11"/>
      <c r="C77" s="2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20"/>
      <c r="W77" s="20"/>
      <c r="X77" s="20"/>
      <c r="Y77" s="11"/>
      <c r="Z77" s="21"/>
      <c r="AA77" s="22" t="str">
        <f aca="false">IFERROR(INDEX(Lists!$F$2:$F$15,MATCH(Y77,Lists!$E$2:$E$15,0)),"")</f>
        <v/>
      </c>
      <c r="AB77" s="21" t="str">
        <f aca="false">IF(OR(Z77="",AA77=""),"",Z77*AA77)</f>
        <v/>
      </c>
      <c r="AC77" s="20"/>
      <c r="AD77" s="11"/>
      <c r="AE77" s="20"/>
      <c r="AF77" s="11"/>
      <c r="AG77" s="11"/>
    </row>
    <row r="78" customFormat="false" ht="15" hidden="false" customHeight="false" outlineLevel="0" collapsed="false">
      <c r="A78" s="11"/>
      <c r="B78" s="11"/>
      <c r="C78" s="2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20"/>
      <c r="W78" s="20"/>
      <c r="X78" s="20"/>
      <c r="Y78" s="11"/>
      <c r="Z78" s="21"/>
      <c r="AA78" s="22" t="str">
        <f aca="false">IFERROR(INDEX(Lists!$F$2:$F$15,MATCH(Y78,Lists!$E$2:$E$15,0)),"")</f>
        <v/>
      </c>
      <c r="AB78" s="21" t="str">
        <f aca="false">IF(OR(Z78="",AA78=""),"",Z78*AA78)</f>
        <v/>
      </c>
      <c r="AC78" s="20"/>
      <c r="AD78" s="11"/>
      <c r="AE78" s="20"/>
      <c r="AF78" s="11"/>
      <c r="AG78" s="11"/>
    </row>
    <row r="79" customFormat="false" ht="15" hidden="false" customHeight="false" outlineLevel="0" collapsed="false">
      <c r="A79" s="11"/>
      <c r="B79" s="11"/>
      <c r="C79" s="2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20"/>
      <c r="W79" s="20"/>
      <c r="X79" s="20"/>
      <c r="Y79" s="11"/>
      <c r="Z79" s="21"/>
      <c r="AA79" s="22" t="str">
        <f aca="false">IFERROR(INDEX(Lists!$F$2:$F$15,MATCH(Y79,Lists!$E$2:$E$15,0)),"")</f>
        <v/>
      </c>
      <c r="AB79" s="21" t="str">
        <f aca="false">IF(OR(Z79="",AA79=""),"",Z79*AA79)</f>
        <v/>
      </c>
      <c r="AC79" s="20"/>
      <c r="AD79" s="11"/>
      <c r="AE79" s="20"/>
      <c r="AF79" s="11"/>
      <c r="AG79" s="11"/>
    </row>
    <row r="80" customFormat="false" ht="15" hidden="false" customHeight="false" outlineLevel="0" collapsed="false">
      <c r="A80" s="11"/>
      <c r="B80" s="11"/>
      <c r="C80" s="2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20"/>
      <c r="W80" s="20"/>
      <c r="X80" s="20"/>
      <c r="Y80" s="11"/>
      <c r="Z80" s="21"/>
      <c r="AA80" s="22" t="str">
        <f aca="false">IFERROR(INDEX(Lists!$F$2:$F$15,MATCH(Y80,Lists!$E$2:$E$15,0)),"")</f>
        <v/>
      </c>
      <c r="AB80" s="21" t="str">
        <f aca="false">IF(OR(Z80="",AA80=""),"",Z80*AA80)</f>
        <v/>
      </c>
      <c r="AC80" s="20"/>
      <c r="AD80" s="11"/>
      <c r="AE80" s="20"/>
      <c r="AF80" s="11"/>
      <c r="AG80" s="11"/>
    </row>
    <row r="81" customFormat="false" ht="15" hidden="false" customHeight="false" outlineLevel="0" collapsed="false">
      <c r="A81" s="11"/>
      <c r="B81" s="11"/>
      <c r="C81" s="2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20"/>
      <c r="W81" s="20"/>
      <c r="X81" s="20"/>
      <c r="Y81" s="11"/>
      <c r="Z81" s="21"/>
      <c r="AA81" s="22" t="str">
        <f aca="false">IFERROR(INDEX(Lists!$F$2:$F$15,MATCH(Y81,Lists!$E$2:$E$15,0)),"")</f>
        <v/>
      </c>
      <c r="AB81" s="21" t="str">
        <f aca="false">IF(OR(Z81="",AA81=""),"",Z81*AA81)</f>
        <v/>
      </c>
      <c r="AC81" s="20"/>
      <c r="AD81" s="11"/>
      <c r="AE81" s="20"/>
      <c r="AF81" s="11"/>
      <c r="AG81" s="11"/>
    </row>
    <row r="82" customFormat="false" ht="15" hidden="false" customHeight="false" outlineLevel="0" collapsed="false">
      <c r="A82" s="11"/>
      <c r="B82" s="11"/>
      <c r="C82" s="2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20"/>
      <c r="W82" s="20"/>
      <c r="X82" s="20"/>
      <c r="Y82" s="11"/>
      <c r="Z82" s="21"/>
      <c r="AA82" s="22" t="str">
        <f aca="false">IFERROR(INDEX(Lists!$F$2:$F$15,MATCH(Y82,Lists!$E$2:$E$15,0)),"")</f>
        <v/>
      </c>
      <c r="AB82" s="21" t="str">
        <f aca="false">IF(OR(Z82="",AA82=""),"",Z82*AA82)</f>
        <v/>
      </c>
      <c r="AC82" s="20"/>
      <c r="AD82" s="11"/>
      <c r="AE82" s="20"/>
      <c r="AF82" s="11"/>
      <c r="AG82" s="11"/>
    </row>
    <row r="83" customFormat="false" ht="15" hidden="false" customHeight="false" outlineLevel="0" collapsed="false">
      <c r="A83" s="11"/>
      <c r="B83" s="11"/>
      <c r="C83" s="2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20"/>
      <c r="W83" s="20"/>
      <c r="X83" s="20"/>
      <c r="Y83" s="11"/>
      <c r="Z83" s="21"/>
      <c r="AA83" s="22" t="str">
        <f aca="false">IFERROR(INDEX(Lists!$F$2:$F$15,MATCH(Y83,Lists!$E$2:$E$15,0)),"")</f>
        <v/>
      </c>
      <c r="AB83" s="21" t="str">
        <f aca="false">IF(OR(Z83="",AA83=""),"",Z83*AA83)</f>
        <v/>
      </c>
      <c r="AC83" s="20"/>
      <c r="AD83" s="11"/>
      <c r="AE83" s="20"/>
      <c r="AF83" s="11"/>
      <c r="AG83" s="11"/>
    </row>
    <row r="84" customFormat="false" ht="15" hidden="false" customHeight="false" outlineLevel="0" collapsed="false">
      <c r="A84" s="11"/>
      <c r="B84" s="11"/>
      <c r="C84" s="2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20"/>
      <c r="W84" s="20"/>
      <c r="X84" s="20"/>
      <c r="Y84" s="11"/>
      <c r="Z84" s="21"/>
      <c r="AA84" s="22" t="str">
        <f aca="false">IFERROR(INDEX(Lists!$F$2:$F$15,MATCH(Y84,Lists!$E$2:$E$15,0)),"")</f>
        <v/>
      </c>
      <c r="AB84" s="21" t="str">
        <f aca="false">IF(OR(Z84="",AA84=""),"",Z84*AA84)</f>
        <v/>
      </c>
      <c r="AC84" s="20"/>
      <c r="AD84" s="11"/>
      <c r="AE84" s="20"/>
      <c r="AF84" s="11"/>
      <c r="AG84" s="11"/>
    </row>
    <row r="85" customFormat="false" ht="15" hidden="false" customHeight="false" outlineLevel="0" collapsed="false">
      <c r="A85" s="11"/>
      <c r="B85" s="11"/>
      <c r="C85" s="2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20"/>
      <c r="W85" s="20"/>
      <c r="X85" s="20"/>
      <c r="Y85" s="11"/>
      <c r="Z85" s="21"/>
      <c r="AA85" s="22" t="str">
        <f aca="false">IFERROR(INDEX(Lists!$F$2:$F$15,MATCH(Y85,Lists!$E$2:$E$15,0)),"")</f>
        <v/>
      </c>
      <c r="AB85" s="21" t="str">
        <f aca="false">IF(OR(Z85="",AA85=""),"",Z85*AA85)</f>
        <v/>
      </c>
      <c r="AC85" s="20"/>
      <c r="AD85" s="11"/>
      <c r="AE85" s="20"/>
      <c r="AF85" s="11"/>
      <c r="AG85" s="11"/>
    </row>
    <row r="86" customFormat="false" ht="15" hidden="false" customHeight="false" outlineLevel="0" collapsed="false">
      <c r="A86" s="11"/>
      <c r="B86" s="11"/>
      <c r="C86" s="2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20"/>
      <c r="W86" s="20"/>
      <c r="X86" s="20"/>
      <c r="Y86" s="11"/>
      <c r="Z86" s="21"/>
      <c r="AA86" s="22" t="str">
        <f aca="false">IFERROR(INDEX(Lists!$F$2:$F$15,MATCH(Y86,Lists!$E$2:$E$15,0)),"")</f>
        <v/>
      </c>
      <c r="AB86" s="21" t="str">
        <f aca="false">IF(OR(Z86="",AA86=""),"",Z86*AA86)</f>
        <v/>
      </c>
      <c r="AC86" s="20"/>
      <c r="AD86" s="11"/>
      <c r="AE86" s="20"/>
      <c r="AF86" s="11"/>
      <c r="AG86" s="11"/>
    </row>
    <row r="87" customFormat="false" ht="15" hidden="false" customHeight="false" outlineLevel="0" collapsed="false">
      <c r="A87" s="11"/>
      <c r="B87" s="11"/>
      <c r="C87" s="2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20"/>
      <c r="W87" s="20"/>
      <c r="X87" s="20"/>
      <c r="Y87" s="11"/>
      <c r="Z87" s="21"/>
      <c r="AA87" s="22" t="str">
        <f aca="false">IFERROR(INDEX(Lists!$F$2:$F$15,MATCH(Y87,Lists!$E$2:$E$15,0)),"")</f>
        <v/>
      </c>
      <c r="AB87" s="21" t="str">
        <f aca="false">IF(OR(Z87="",AA87=""),"",Z87*AA87)</f>
        <v/>
      </c>
      <c r="AC87" s="20"/>
      <c r="AD87" s="11"/>
      <c r="AE87" s="20"/>
      <c r="AF87" s="11"/>
      <c r="AG87" s="11"/>
    </row>
    <row r="88" customFormat="false" ht="15" hidden="false" customHeight="false" outlineLevel="0" collapsed="false">
      <c r="A88" s="11"/>
      <c r="B88" s="11"/>
      <c r="C88" s="2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20"/>
      <c r="W88" s="20"/>
      <c r="X88" s="20"/>
      <c r="Y88" s="11"/>
      <c r="Z88" s="21"/>
      <c r="AA88" s="22" t="str">
        <f aca="false">IFERROR(INDEX(Lists!$F$2:$F$15,MATCH(Y88,Lists!$E$2:$E$15,0)),"")</f>
        <v/>
      </c>
      <c r="AB88" s="21" t="str">
        <f aca="false">IF(OR(Z88="",AA88=""),"",Z88*AA88)</f>
        <v/>
      </c>
      <c r="AC88" s="20"/>
      <c r="AD88" s="11"/>
      <c r="AE88" s="20"/>
      <c r="AF88" s="11"/>
      <c r="AG88" s="11"/>
    </row>
    <row r="89" customFormat="false" ht="15" hidden="false" customHeight="false" outlineLevel="0" collapsed="false">
      <c r="A89" s="11"/>
      <c r="B89" s="11"/>
      <c r="C89" s="2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20"/>
      <c r="W89" s="20"/>
      <c r="X89" s="20"/>
      <c r="Y89" s="11"/>
      <c r="Z89" s="21"/>
      <c r="AA89" s="22" t="str">
        <f aca="false">IFERROR(INDEX(Lists!$F$2:$F$15,MATCH(Y89,Lists!$E$2:$E$15,0)),"")</f>
        <v/>
      </c>
      <c r="AB89" s="21" t="str">
        <f aca="false">IF(OR(Z89="",AA89=""),"",Z89*AA89)</f>
        <v/>
      </c>
      <c r="AC89" s="20"/>
      <c r="AD89" s="11"/>
      <c r="AE89" s="20"/>
      <c r="AF89" s="11"/>
      <c r="AG89" s="11"/>
    </row>
    <row r="90" customFormat="false" ht="15" hidden="false" customHeight="false" outlineLevel="0" collapsed="false">
      <c r="A90" s="11"/>
      <c r="B90" s="11"/>
      <c r="C90" s="2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20"/>
      <c r="W90" s="20"/>
      <c r="X90" s="20"/>
      <c r="Y90" s="11"/>
      <c r="Z90" s="21"/>
      <c r="AA90" s="22" t="str">
        <f aca="false">IFERROR(INDEX(Lists!$F$2:$F$15,MATCH(Y90,Lists!$E$2:$E$15,0)),"")</f>
        <v/>
      </c>
      <c r="AB90" s="21" t="str">
        <f aca="false">IF(OR(Z90="",AA90=""),"",Z90*AA90)</f>
        <v/>
      </c>
      <c r="AC90" s="20"/>
      <c r="AD90" s="11"/>
      <c r="AE90" s="20"/>
      <c r="AF90" s="11"/>
      <c r="AG90" s="11"/>
    </row>
    <row r="91" customFormat="false" ht="15" hidden="false" customHeight="false" outlineLevel="0" collapsed="false">
      <c r="A91" s="11"/>
      <c r="B91" s="11"/>
      <c r="C91" s="2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20"/>
      <c r="W91" s="20"/>
      <c r="X91" s="20"/>
      <c r="Y91" s="11"/>
      <c r="Z91" s="21"/>
      <c r="AA91" s="22" t="str">
        <f aca="false">IFERROR(INDEX(Lists!$F$2:$F$15,MATCH(Y91,Lists!$E$2:$E$15,0)),"")</f>
        <v/>
      </c>
      <c r="AB91" s="21" t="str">
        <f aca="false">IF(OR(Z91="",AA91=""),"",Z91*AA91)</f>
        <v/>
      </c>
      <c r="AC91" s="20"/>
      <c r="AD91" s="11"/>
      <c r="AE91" s="20"/>
      <c r="AF91" s="11"/>
      <c r="AG91" s="11"/>
    </row>
    <row r="92" customFormat="false" ht="15" hidden="false" customHeight="false" outlineLevel="0" collapsed="false">
      <c r="A92" s="11"/>
      <c r="B92" s="11"/>
      <c r="C92" s="2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20"/>
      <c r="W92" s="20"/>
      <c r="X92" s="20"/>
      <c r="Y92" s="11"/>
      <c r="Z92" s="21"/>
      <c r="AA92" s="22" t="str">
        <f aca="false">IFERROR(INDEX(Lists!$F$2:$F$15,MATCH(Y92,Lists!$E$2:$E$15,0)),"")</f>
        <v/>
      </c>
      <c r="AB92" s="21" t="str">
        <f aca="false">IF(OR(Z92="",AA92=""),"",Z92*AA92)</f>
        <v/>
      </c>
      <c r="AC92" s="20"/>
      <c r="AD92" s="11"/>
      <c r="AE92" s="20"/>
      <c r="AF92" s="11"/>
      <c r="AG92" s="11"/>
    </row>
    <row r="93" customFormat="false" ht="15" hidden="false" customHeight="false" outlineLevel="0" collapsed="false">
      <c r="A93" s="11"/>
      <c r="B93" s="11"/>
      <c r="C93" s="2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20"/>
      <c r="W93" s="20"/>
      <c r="X93" s="20"/>
      <c r="Y93" s="11"/>
      <c r="Z93" s="21"/>
      <c r="AA93" s="22" t="str">
        <f aca="false">IFERROR(INDEX(Lists!$F$2:$F$15,MATCH(Y93,Lists!$E$2:$E$15,0)),"")</f>
        <v/>
      </c>
      <c r="AB93" s="21" t="str">
        <f aca="false">IF(OR(Z93="",AA93=""),"",Z93*AA93)</f>
        <v/>
      </c>
      <c r="AC93" s="20"/>
      <c r="AD93" s="11"/>
      <c r="AE93" s="20"/>
      <c r="AF93" s="11"/>
      <c r="AG93" s="11"/>
    </row>
    <row r="94" customFormat="false" ht="15" hidden="false" customHeight="false" outlineLevel="0" collapsed="false">
      <c r="A94" s="11"/>
      <c r="B94" s="11"/>
      <c r="C94" s="2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20"/>
      <c r="W94" s="20"/>
      <c r="X94" s="20"/>
      <c r="Y94" s="11"/>
      <c r="Z94" s="21"/>
      <c r="AA94" s="22" t="str">
        <f aca="false">IFERROR(INDEX(Lists!$F$2:$F$15,MATCH(Y94,Lists!$E$2:$E$15,0)),"")</f>
        <v/>
      </c>
      <c r="AB94" s="21" t="str">
        <f aca="false">IF(OR(Z94="",AA94=""),"",Z94*AA94)</f>
        <v/>
      </c>
      <c r="AC94" s="20"/>
      <c r="AD94" s="11"/>
      <c r="AE94" s="20"/>
      <c r="AF94" s="11"/>
      <c r="AG94" s="11"/>
    </row>
    <row r="95" customFormat="false" ht="15" hidden="false" customHeight="false" outlineLevel="0" collapsed="false">
      <c r="A95" s="11"/>
      <c r="B95" s="11"/>
      <c r="C95" s="2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20"/>
      <c r="W95" s="20"/>
      <c r="X95" s="20"/>
      <c r="Y95" s="11"/>
      <c r="Z95" s="21"/>
      <c r="AA95" s="22" t="str">
        <f aca="false">IFERROR(INDEX(Lists!$F$2:$F$15,MATCH(Y95,Lists!$E$2:$E$15,0)),"")</f>
        <v/>
      </c>
      <c r="AB95" s="21" t="str">
        <f aca="false">IF(OR(Z95="",AA95=""),"",Z95*AA95)</f>
        <v/>
      </c>
      <c r="AC95" s="20"/>
      <c r="AD95" s="11"/>
      <c r="AE95" s="20"/>
      <c r="AF95" s="11"/>
      <c r="AG95" s="11"/>
    </row>
    <row r="96" customFormat="false" ht="15" hidden="false" customHeight="false" outlineLevel="0" collapsed="false">
      <c r="A96" s="11"/>
      <c r="B96" s="11"/>
      <c r="C96" s="2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20"/>
      <c r="W96" s="20"/>
      <c r="X96" s="20"/>
      <c r="Y96" s="11"/>
      <c r="Z96" s="21"/>
      <c r="AA96" s="22" t="str">
        <f aca="false">IFERROR(INDEX(Lists!$F$2:$F$15,MATCH(Y96,Lists!$E$2:$E$15,0)),"")</f>
        <v/>
      </c>
      <c r="AB96" s="21" t="str">
        <f aca="false">IF(OR(Z96="",AA96=""),"",Z96*AA96)</f>
        <v/>
      </c>
      <c r="AC96" s="20"/>
      <c r="AD96" s="11"/>
      <c r="AE96" s="20"/>
      <c r="AF96" s="11"/>
      <c r="AG96" s="11"/>
    </row>
    <row r="97" customFormat="false" ht="15" hidden="false" customHeight="false" outlineLevel="0" collapsed="false">
      <c r="A97" s="11"/>
      <c r="B97" s="11"/>
      <c r="C97" s="2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20"/>
      <c r="W97" s="20"/>
      <c r="X97" s="20"/>
      <c r="Y97" s="11"/>
      <c r="Z97" s="21"/>
      <c r="AA97" s="22" t="str">
        <f aca="false">IFERROR(INDEX(Lists!$F$2:$F$15,MATCH(Y97,Lists!$E$2:$E$15,0)),"")</f>
        <v/>
      </c>
      <c r="AB97" s="21" t="str">
        <f aca="false">IF(OR(Z97="",AA97=""),"",Z97*AA97)</f>
        <v/>
      </c>
      <c r="AC97" s="20"/>
      <c r="AD97" s="11"/>
      <c r="AE97" s="20"/>
      <c r="AF97" s="11"/>
      <c r="AG97" s="11"/>
    </row>
    <row r="98" customFormat="false" ht="15" hidden="false" customHeight="false" outlineLevel="0" collapsed="false">
      <c r="A98" s="11"/>
      <c r="B98" s="11"/>
      <c r="C98" s="2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20"/>
      <c r="W98" s="20"/>
      <c r="X98" s="20"/>
      <c r="Y98" s="11"/>
      <c r="Z98" s="21"/>
      <c r="AA98" s="22" t="str">
        <f aca="false">IFERROR(INDEX(Lists!$F$2:$F$15,MATCH(Y98,Lists!$E$2:$E$15,0)),"")</f>
        <v/>
      </c>
      <c r="AB98" s="21" t="str">
        <f aca="false">IF(OR(Z98="",AA98=""),"",Z98*AA98)</f>
        <v/>
      </c>
      <c r="AC98" s="20"/>
      <c r="AD98" s="11"/>
      <c r="AE98" s="20"/>
      <c r="AF98" s="11"/>
      <c r="AG98" s="11"/>
    </row>
    <row r="99" customFormat="false" ht="15" hidden="false" customHeight="false" outlineLevel="0" collapsed="false">
      <c r="A99" s="11"/>
      <c r="B99" s="11"/>
      <c r="C99" s="2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20"/>
      <c r="W99" s="20"/>
      <c r="X99" s="20"/>
      <c r="Y99" s="11"/>
      <c r="Z99" s="21"/>
      <c r="AA99" s="22" t="str">
        <f aca="false">IFERROR(INDEX(Lists!$F$2:$F$15,MATCH(Y99,Lists!$E$2:$E$15,0)),"")</f>
        <v/>
      </c>
      <c r="AB99" s="21" t="str">
        <f aca="false">IF(OR(Z99="",AA99=""),"",Z99*AA99)</f>
        <v/>
      </c>
      <c r="AC99" s="20"/>
      <c r="AD99" s="11"/>
      <c r="AE99" s="20"/>
      <c r="AF99" s="11"/>
      <c r="AG99" s="11"/>
    </row>
    <row r="100" customFormat="false" ht="15" hidden="false" customHeight="false" outlineLevel="0" collapsed="false">
      <c r="A100" s="11"/>
      <c r="B100" s="11"/>
      <c r="C100" s="2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20"/>
      <c r="W100" s="20"/>
      <c r="X100" s="20"/>
      <c r="Y100" s="11"/>
      <c r="Z100" s="21"/>
      <c r="AA100" s="22" t="str">
        <f aca="false">IFERROR(INDEX(Lists!$F$2:$F$15,MATCH(Y100,Lists!$E$2:$E$15,0)),"")</f>
        <v/>
      </c>
      <c r="AB100" s="21" t="str">
        <f aca="false">IF(OR(Z100="",AA100=""),"",Z100*AA100)</f>
        <v/>
      </c>
      <c r="AC100" s="20"/>
      <c r="AD100" s="11"/>
      <c r="AE100" s="20"/>
      <c r="AF100" s="11"/>
      <c r="AG100" s="11"/>
    </row>
    <row r="101" customFormat="false" ht="15" hidden="false" customHeight="false" outlineLevel="0" collapsed="false">
      <c r="A101" s="11"/>
      <c r="B101" s="11"/>
      <c r="C101" s="2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20"/>
      <c r="W101" s="20"/>
      <c r="X101" s="20"/>
      <c r="Y101" s="11"/>
      <c r="Z101" s="21"/>
      <c r="AA101" s="22" t="str">
        <f aca="false">IFERROR(INDEX(Lists!$F$2:$F$15,MATCH(Y101,Lists!$E$2:$E$15,0)),"")</f>
        <v/>
      </c>
      <c r="AB101" s="21" t="str">
        <f aca="false">IF(OR(Z101="",AA101=""),"",Z101*AA101)</f>
        <v/>
      </c>
      <c r="AC101" s="20"/>
      <c r="AD101" s="11"/>
      <c r="AE101" s="20"/>
      <c r="AF101" s="11"/>
      <c r="AG101" s="11"/>
    </row>
    <row r="102" customFormat="false" ht="15" hidden="false" customHeight="false" outlineLevel="0" collapsed="false">
      <c r="A102" s="11"/>
      <c r="B102" s="11"/>
      <c r="C102" s="2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20"/>
      <c r="W102" s="20"/>
      <c r="X102" s="20"/>
      <c r="Y102" s="11"/>
      <c r="Z102" s="21"/>
      <c r="AA102" s="22" t="str">
        <f aca="false">IFERROR(INDEX(Lists!$F$2:$F$15,MATCH(Y102,Lists!$E$2:$E$15,0)),"")</f>
        <v/>
      </c>
      <c r="AB102" s="21" t="str">
        <f aca="false">IF(OR(Z102="",AA102=""),"",Z102*AA102)</f>
        <v/>
      </c>
      <c r="AC102" s="20"/>
      <c r="AD102" s="11"/>
      <c r="AE102" s="20"/>
      <c r="AF102" s="11"/>
      <c r="AG102" s="11"/>
    </row>
    <row r="103" customFormat="false" ht="15" hidden="false" customHeight="false" outlineLevel="0" collapsed="false">
      <c r="A103" s="11"/>
      <c r="B103" s="11"/>
      <c r="C103" s="2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20"/>
      <c r="W103" s="20"/>
      <c r="X103" s="20"/>
      <c r="Y103" s="11"/>
      <c r="Z103" s="21"/>
      <c r="AA103" s="22" t="str">
        <f aca="false">IFERROR(INDEX(Lists!$F$2:$F$15,MATCH(Y103,Lists!$E$2:$E$15,0)),"")</f>
        <v/>
      </c>
      <c r="AB103" s="21" t="str">
        <f aca="false">IF(OR(Z103="",AA103=""),"",Z103*AA103)</f>
        <v/>
      </c>
      <c r="AC103" s="20"/>
      <c r="AD103" s="11"/>
      <c r="AE103" s="20"/>
      <c r="AF103" s="11"/>
      <c r="AG103" s="11"/>
    </row>
    <row r="104" customFormat="false" ht="15" hidden="false" customHeight="false" outlineLevel="0" collapsed="false">
      <c r="A104" s="11"/>
      <c r="B104" s="11"/>
      <c r="C104" s="2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20"/>
      <c r="W104" s="20"/>
      <c r="X104" s="20"/>
      <c r="Y104" s="11"/>
      <c r="Z104" s="21"/>
      <c r="AA104" s="22" t="str">
        <f aca="false">IFERROR(INDEX(Lists!$F$2:$F$15,MATCH(Y104,Lists!$E$2:$E$15,0)),"")</f>
        <v/>
      </c>
      <c r="AB104" s="21" t="str">
        <f aca="false">IF(OR(Z104="",AA104=""),"",Z104*AA104)</f>
        <v/>
      </c>
      <c r="AC104" s="20"/>
      <c r="AD104" s="11"/>
      <c r="AE104" s="20"/>
      <c r="AF104" s="11"/>
      <c r="AG104" s="11"/>
    </row>
    <row r="105" customFormat="false" ht="15" hidden="false" customHeight="false" outlineLevel="0" collapsed="false">
      <c r="A105" s="11"/>
      <c r="B105" s="11"/>
      <c r="C105" s="2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20"/>
      <c r="W105" s="20"/>
      <c r="X105" s="20"/>
      <c r="Y105" s="11"/>
      <c r="Z105" s="21"/>
      <c r="AA105" s="22" t="str">
        <f aca="false">IFERROR(INDEX(Lists!$F$2:$F$15,MATCH(Y105,Lists!$E$2:$E$15,0)),"")</f>
        <v/>
      </c>
      <c r="AB105" s="21" t="str">
        <f aca="false">IF(OR(Z105="",AA105=""),"",Z105*AA105)</f>
        <v/>
      </c>
      <c r="AC105" s="20"/>
      <c r="AD105" s="11"/>
      <c r="AE105" s="20"/>
      <c r="AF105" s="11"/>
      <c r="AG105" s="11"/>
    </row>
    <row r="106" customFormat="false" ht="15" hidden="false" customHeight="false" outlineLevel="0" collapsed="false">
      <c r="A106" s="11"/>
      <c r="B106" s="11"/>
      <c r="C106" s="2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20"/>
      <c r="W106" s="20"/>
      <c r="X106" s="20"/>
      <c r="Y106" s="11"/>
      <c r="Z106" s="21"/>
      <c r="AA106" s="22" t="str">
        <f aca="false">IFERROR(INDEX(Lists!$F$2:$F$15,MATCH(Y106,Lists!$E$2:$E$15,0)),"")</f>
        <v/>
      </c>
      <c r="AB106" s="21" t="str">
        <f aca="false">IF(OR(Z106="",AA106=""),"",Z106*AA106)</f>
        <v/>
      </c>
      <c r="AC106" s="20"/>
      <c r="AD106" s="11"/>
      <c r="AE106" s="20"/>
      <c r="AF106" s="11"/>
      <c r="AG106" s="11"/>
    </row>
    <row r="107" customFormat="false" ht="15" hidden="false" customHeight="false" outlineLevel="0" collapsed="false">
      <c r="A107" s="11"/>
      <c r="B107" s="11"/>
      <c r="C107" s="20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20"/>
      <c r="W107" s="20"/>
      <c r="X107" s="20"/>
      <c r="Y107" s="11"/>
      <c r="Z107" s="21"/>
      <c r="AA107" s="22" t="str">
        <f aca="false">IFERROR(INDEX(Lists!$F$2:$F$15,MATCH(Y107,Lists!$E$2:$E$15,0)),"")</f>
        <v/>
      </c>
      <c r="AB107" s="21" t="str">
        <f aca="false">IF(OR(Z107="",AA107=""),"",Z107*AA107)</f>
        <v/>
      </c>
      <c r="AC107" s="20"/>
      <c r="AD107" s="11"/>
      <c r="AE107" s="20"/>
      <c r="AF107" s="11"/>
      <c r="AG107" s="11"/>
    </row>
    <row r="108" customFormat="false" ht="15" hidden="false" customHeight="false" outlineLevel="0" collapsed="false">
      <c r="A108" s="11"/>
      <c r="B108" s="11"/>
      <c r="C108" s="20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20"/>
      <c r="W108" s="20"/>
      <c r="X108" s="20"/>
      <c r="Y108" s="11"/>
      <c r="Z108" s="21"/>
      <c r="AA108" s="22" t="str">
        <f aca="false">IFERROR(INDEX(Lists!$F$2:$F$15,MATCH(Y108,Lists!$E$2:$E$15,0)),"")</f>
        <v/>
      </c>
      <c r="AB108" s="21" t="str">
        <f aca="false">IF(OR(Z108="",AA108=""),"",Z108*AA108)</f>
        <v/>
      </c>
      <c r="AC108" s="20"/>
      <c r="AD108" s="11"/>
      <c r="AE108" s="20"/>
      <c r="AF108" s="11"/>
      <c r="AG108" s="11"/>
    </row>
    <row r="109" customFormat="false" ht="15" hidden="false" customHeight="false" outlineLevel="0" collapsed="false">
      <c r="A109" s="11"/>
      <c r="B109" s="11"/>
      <c r="C109" s="20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20"/>
      <c r="W109" s="20"/>
      <c r="X109" s="20"/>
      <c r="Y109" s="11"/>
      <c r="Z109" s="21"/>
      <c r="AA109" s="22" t="str">
        <f aca="false">IFERROR(INDEX(Lists!$F$2:$F$15,MATCH(Y109,Lists!$E$2:$E$15,0)),"")</f>
        <v/>
      </c>
      <c r="AB109" s="21" t="str">
        <f aca="false">IF(OR(Z109="",AA109=""),"",Z109*AA109)</f>
        <v/>
      </c>
      <c r="AC109" s="20"/>
      <c r="AD109" s="11"/>
      <c r="AE109" s="20"/>
      <c r="AF109" s="11"/>
      <c r="AG109" s="11"/>
    </row>
    <row r="110" customFormat="false" ht="15" hidden="false" customHeight="false" outlineLevel="0" collapsed="false">
      <c r="A110" s="11"/>
      <c r="B110" s="11"/>
      <c r="C110" s="20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20"/>
      <c r="W110" s="20"/>
      <c r="X110" s="20"/>
      <c r="Y110" s="11"/>
      <c r="Z110" s="21"/>
      <c r="AA110" s="22" t="str">
        <f aca="false">IFERROR(INDEX(Lists!$F$2:$F$15,MATCH(Y110,Lists!$E$2:$E$15,0)),"")</f>
        <v/>
      </c>
      <c r="AB110" s="21" t="str">
        <f aca="false">IF(OR(Z110="",AA110=""),"",Z110*AA110)</f>
        <v/>
      </c>
      <c r="AC110" s="20"/>
      <c r="AD110" s="11"/>
      <c r="AE110" s="20"/>
      <c r="AF110" s="11"/>
      <c r="AG110" s="11"/>
    </row>
    <row r="111" customFormat="false" ht="15" hidden="false" customHeight="false" outlineLevel="0" collapsed="false">
      <c r="A111" s="11"/>
      <c r="B111" s="11"/>
      <c r="C111" s="20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20"/>
      <c r="W111" s="20"/>
      <c r="X111" s="20"/>
      <c r="Y111" s="11"/>
      <c r="Z111" s="21"/>
      <c r="AA111" s="22" t="str">
        <f aca="false">IFERROR(INDEX(Lists!$F$2:$F$15,MATCH(Y111,Lists!$E$2:$E$15,0)),"")</f>
        <v/>
      </c>
      <c r="AB111" s="21" t="str">
        <f aca="false">IF(OR(Z111="",AA111=""),"",Z111*AA111)</f>
        <v/>
      </c>
      <c r="AC111" s="20"/>
      <c r="AD111" s="11"/>
      <c r="AE111" s="20"/>
      <c r="AF111" s="11"/>
      <c r="AG111" s="11"/>
    </row>
    <row r="112" customFormat="false" ht="15" hidden="false" customHeight="false" outlineLevel="0" collapsed="false">
      <c r="A112" s="11"/>
      <c r="B112" s="11"/>
      <c r="C112" s="20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20"/>
      <c r="W112" s="20"/>
      <c r="X112" s="20"/>
      <c r="Y112" s="11"/>
      <c r="Z112" s="21"/>
      <c r="AA112" s="22" t="str">
        <f aca="false">IFERROR(INDEX(Lists!$F$2:$F$15,MATCH(Y112,Lists!$E$2:$E$15,0)),"")</f>
        <v/>
      </c>
      <c r="AB112" s="21" t="str">
        <f aca="false">IF(OR(Z112="",AA112=""),"",Z112*AA112)</f>
        <v/>
      </c>
      <c r="AC112" s="20"/>
      <c r="AD112" s="11"/>
      <c r="AE112" s="20"/>
      <c r="AF112" s="11"/>
      <c r="AG112" s="11"/>
    </row>
    <row r="113" customFormat="false" ht="15" hidden="false" customHeight="false" outlineLevel="0" collapsed="false">
      <c r="A113" s="11"/>
      <c r="B113" s="11"/>
      <c r="C113" s="20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20"/>
      <c r="W113" s="20"/>
      <c r="X113" s="20"/>
      <c r="Y113" s="11"/>
      <c r="Z113" s="21"/>
      <c r="AA113" s="22" t="str">
        <f aca="false">IFERROR(INDEX(Lists!$F$2:$F$15,MATCH(Y113,Lists!$E$2:$E$15,0)),"")</f>
        <v/>
      </c>
      <c r="AB113" s="21" t="str">
        <f aca="false">IF(OR(Z113="",AA113=""),"",Z113*AA113)</f>
        <v/>
      </c>
      <c r="AC113" s="20"/>
      <c r="AD113" s="11"/>
      <c r="AE113" s="20"/>
      <c r="AF113" s="11"/>
      <c r="AG113" s="11"/>
    </row>
    <row r="114" customFormat="false" ht="15" hidden="false" customHeight="false" outlineLevel="0" collapsed="false">
      <c r="A114" s="11"/>
      <c r="B114" s="11"/>
      <c r="C114" s="20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20"/>
      <c r="W114" s="20"/>
      <c r="X114" s="20"/>
      <c r="Y114" s="11"/>
      <c r="Z114" s="21"/>
      <c r="AA114" s="22" t="str">
        <f aca="false">IFERROR(INDEX(Lists!$F$2:$F$15,MATCH(Y114,Lists!$E$2:$E$15,0)),"")</f>
        <v/>
      </c>
      <c r="AB114" s="21" t="str">
        <f aca="false">IF(OR(Z114="",AA114=""),"",Z114*AA114)</f>
        <v/>
      </c>
      <c r="AC114" s="20"/>
      <c r="AD114" s="11"/>
      <c r="AE114" s="20"/>
      <c r="AF114" s="11"/>
      <c r="AG114" s="11"/>
    </row>
    <row r="115" customFormat="false" ht="15" hidden="false" customHeight="false" outlineLevel="0" collapsed="false">
      <c r="A115" s="11"/>
      <c r="B115" s="11"/>
      <c r="C115" s="20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20"/>
      <c r="W115" s="20"/>
      <c r="X115" s="20"/>
      <c r="Y115" s="11"/>
      <c r="Z115" s="21"/>
      <c r="AA115" s="22" t="str">
        <f aca="false">IFERROR(INDEX(Lists!$F$2:$F$15,MATCH(Y115,Lists!$E$2:$E$15,0)),"")</f>
        <v/>
      </c>
      <c r="AB115" s="21" t="str">
        <f aca="false">IF(OR(Z115="",AA115=""),"",Z115*AA115)</f>
        <v/>
      </c>
      <c r="AC115" s="20"/>
      <c r="AD115" s="11"/>
      <c r="AE115" s="20"/>
      <c r="AF115" s="11"/>
      <c r="AG115" s="11"/>
    </row>
    <row r="116" customFormat="false" ht="15" hidden="false" customHeight="false" outlineLevel="0" collapsed="false">
      <c r="A116" s="11"/>
      <c r="B116" s="11"/>
      <c r="C116" s="20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20"/>
      <c r="W116" s="20"/>
      <c r="X116" s="20"/>
      <c r="Y116" s="11"/>
      <c r="Z116" s="21"/>
      <c r="AA116" s="22" t="str">
        <f aca="false">IFERROR(INDEX(Lists!$F$2:$F$15,MATCH(Y116,Lists!$E$2:$E$15,0)),"")</f>
        <v/>
      </c>
      <c r="AB116" s="21" t="str">
        <f aca="false">IF(OR(Z116="",AA116=""),"",Z116*AA116)</f>
        <v/>
      </c>
      <c r="AC116" s="20"/>
      <c r="AD116" s="11"/>
      <c r="AE116" s="20"/>
      <c r="AF116" s="11"/>
      <c r="AG116" s="11"/>
    </row>
    <row r="117" customFormat="false" ht="15" hidden="false" customHeight="false" outlineLevel="0" collapsed="false">
      <c r="A117" s="11"/>
      <c r="B117" s="11"/>
      <c r="C117" s="20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20"/>
      <c r="W117" s="20"/>
      <c r="X117" s="20"/>
      <c r="Y117" s="11"/>
      <c r="Z117" s="21"/>
      <c r="AA117" s="22" t="str">
        <f aca="false">IFERROR(INDEX(Lists!$F$2:$F$15,MATCH(Y117,Lists!$E$2:$E$15,0)),"")</f>
        <v/>
      </c>
      <c r="AB117" s="21" t="str">
        <f aca="false">IF(OR(Z117="",AA117=""),"",Z117*AA117)</f>
        <v/>
      </c>
      <c r="AC117" s="20"/>
      <c r="AD117" s="11"/>
      <c r="AE117" s="20"/>
      <c r="AF117" s="11"/>
      <c r="AG117" s="11"/>
    </row>
    <row r="118" customFormat="false" ht="15" hidden="false" customHeight="false" outlineLevel="0" collapsed="false">
      <c r="A118" s="11"/>
      <c r="B118" s="11"/>
      <c r="C118" s="20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20"/>
      <c r="W118" s="20"/>
      <c r="X118" s="20"/>
      <c r="Y118" s="11"/>
      <c r="Z118" s="21"/>
      <c r="AA118" s="22" t="str">
        <f aca="false">IFERROR(INDEX(Lists!$F$2:$F$15,MATCH(Y118,Lists!$E$2:$E$15,0)),"")</f>
        <v/>
      </c>
      <c r="AB118" s="21" t="str">
        <f aca="false">IF(OR(Z118="",AA118=""),"",Z118*AA118)</f>
        <v/>
      </c>
      <c r="AC118" s="20"/>
      <c r="AD118" s="11"/>
      <c r="AE118" s="20"/>
      <c r="AF118" s="11"/>
      <c r="AG118" s="11"/>
    </row>
    <row r="119" customFormat="false" ht="15" hidden="false" customHeight="false" outlineLevel="0" collapsed="false">
      <c r="A119" s="11"/>
      <c r="B119" s="11"/>
      <c r="C119" s="20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20"/>
      <c r="W119" s="20"/>
      <c r="X119" s="20"/>
      <c r="Y119" s="11"/>
      <c r="Z119" s="21"/>
      <c r="AA119" s="22" t="str">
        <f aca="false">IFERROR(INDEX(Lists!$F$2:$F$15,MATCH(Y119,Lists!$E$2:$E$15,0)),"")</f>
        <v/>
      </c>
      <c r="AB119" s="21" t="str">
        <f aca="false">IF(OR(Z119="",AA119=""),"",Z119*AA119)</f>
        <v/>
      </c>
      <c r="AC119" s="20"/>
      <c r="AD119" s="11"/>
      <c r="AE119" s="20"/>
      <c r="AF119" s="11"/>
      <c r="AG119" s="11"/>
    </row>
    <row r="120" customFormat="false" ht="15" hidden="false" customHeight="false" outlineLevel="0" collapsed="false">
      <c r="A120" s="11"/>
      <c r="B120" s="11"/>
      <c r="C120" s="20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20"/>
      <c r="W120" s="20"/>
      <c r="X120" s="20"/>
      <c r="Y120" s="11"/>
      <c r="Z120" s="21"/>
      <c r="AA120" s="22" t="str">
        <f aca="false">IFERROR(INDEX(Lists!$F$2:$F$15,MATCH(Y120,Lists!$E$2:$E$15,0)),"")</f>
        <v/>
      </c>
      <c r="AB120" s="21" t="str">
        <f aca="false">IF(OR(Z120="",AA120=""),"",Z120*AA120)</f>
        <v/>
      </c>
      <c r="AC120" s="20"/>
      <c r="AD120" s="11"/>
      <c r="AE120" s="20"/>
      <c r="AF120" s="11"/>
      <c r="AG120" s="11"/>
    </row>
    <row r="121" customFormat="false" ht="15" hidden="false" customHeight="false" outlineLevel="0" collapsed="false">
      <c r="A121" s="11"/>
      <c r="B121" s="11"/>
      <c r="C121" s="20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20"/>
      <c r="W121" s="20"/>
      <c r="X121" s="20"/>
      <c r="Y121" s="11"/>
      <c r="Z121" s="21"/>
      <c r="AA121" s="22" t="str">
        <f aca="false">IFERROR(INDEX(Lists!$F$2:$F$15,MATCH(Y121,Lists!$E$2:$E$15,0)),"")</f>
        <v/>
      </c>
      <c r="AB121" s="21" t="str">
        <f aca="false">IF(OR(Z121="",AA121=""),"",Z121*AA121)</f>
        <v/>
      </c>
      <c r="AC121" s="20"/>
      <c r="AD121" s="11"/>
      <c r="AE121" s="20"/>
      <c r="AF121" s="11"/>
      <c r="AG121" s="11"/>
    </row>
    <row r="122" customFormat="false" ht="15" hidden="false" customHeight="false" outlineLevel="0" collapsed="false">
      <c r="A122" s="11"/>
      <c r="B122" s="11"/>
      <c r="C122" s="20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20"/>
      <c r="W122" s="20"/>
      <c r="X122" s="20"/>
      <c r="Y122" s="11"/>
      <c r="Z122" s="21"/>
      <c r="AA122" s="22" t="str">
        <f aca="false">IFERROR(INDEX(Lists!$F$2:$F$15,MATCH(Y122,Lists!$E$2:$E$15,0)),"")</f>
        <v/>
      </c>
      <c r="AB122" s="21" t="str">
        <f aca="false">IF(OR(Z122="",AA122=""),"",Z122*AA122)</f>
        <v/>
      </c>
      <c r="AC122" s="20"/>
      <c r="AD122" s="11"/>
      <c r="AE122" s="20"/>
      <c r="AF122" s="11"/>
      <c r="AG122" s="11"/>
    </row>
    <row r="123" customFormat="false" ht="15" hidden="false" customHeight="false" outlineLevel="0" collapsed="false">
      <c r="A123" s="11"/>
      <c r="B123" s="11"/>
      <c r="C123" s="20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20"/>
      <c r="W123" s="20"/>
      <c r="X123" s="20"/>
      <c r="Y123" s="11"/>
      <c r="Z123" s="21"/>
      <c r="AA123" s="22" t="str">
        <f aca="false">IFERROR(INDEX(Lists!$F$2:$F$15,MATCH(Y123,Lists!$E$2:$E$15,0)),"")</f>
        <v/>
      </c>
      <c r="AB123" s="21" t="str">
        <f aca="false">IF(OR(Z123="",AA123=""),"",Z123*AA123)</f>
        <v/>
      </c>
      <c r="AC123" s="20"/>
      <c r="AD123" s="11"/>
      <c r="AE123" s="20"/>
      <c r="AF123" s="11"/>
      <c r="AG123" s="11"/>
    </row>
    <row r="124" customFormat="false" ht="15" hidden="false" customHeight="false" outlineLevel="0" collapsed="false">
      <c r="A124" s="11"/>
      <c r="B124" s="11"/>
      <c r="C124" s="20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20"/>
      <c r="W124" s="20"/>
      <c r="X124" s="20"/>
      <c r="Y124" s="11"/>
      <c r="Z124" s="21"/>
      <c r="AA124" s="22" t="str">
        <f aca="false">IFERROR(INDEX(Lists!$F$2:$F$15,MATCH(Y124,Lists!$E$2:$E$15,0)),"")</f>
        <v/>
      </c>
      <c r="AB124" s="21" t="str">
        <f aca="false">IF(OR(Z124="",AA124=""),"",Z124*AA124)</f>
        <v/>
      </c>
      <c r="AC124" s="20"/>
      <c r="AD124" s="11"/>
      <c r="AE124" s="20"/>
      <c r="AF124" s="11"/>
      <c r="AG124" s="11"/>
    </row>
    <row r="125" customFormat="false" ht="15" hidden="false" customHeight="false" outlineLevel="0" collapsed="false">
      <c r="A125" s="11"/>
      <c r="B125" s="11"/>
      <c r="C125" s="20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20"/>
      <c r="W125" s="20"/>
      <c r="X125" s="20"/>
      <c r="Y125" s="11"/>
      <c r="Z125" s="21"/>
      <c r="AA125" s="22" t="str">
        <f aca="false">IFERROR(INDEX(Lists!$F$2:$F$15,MATCH(Y125,Lists!$E$2:$E$15,0)),"")</f>
        <v/>
      </c>
      <c r="AB125" s="21" t="str">
        <f aca="false">IF(OR(Z125="",AA125=""),"",Z125*AA125)</f>
        <v/>
      </c>
      <c r="AC125" s="20"/>
      <c r="AD125" s="11"/>
      <c r="AE125" s="20"/>
      <c r="AF125" s="11"/>
      <c r="AG125" s="11"/>
    </row>
    <row r="126" customFormat="false" ht="15" hidden="false" customHeight="false" outlineLevel="0" collapsed="false">
      <c r="A126" s="11"/>
      <c r="B126" s="11"/>
      <c r="C126" s="20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20"/>
      <c r="W126" s="20"/>
      <c r="X126" s="20"/>
      <c r="Y126" s="11"/>
      <c r="Z126" s="21"/>
      <c r="AA126" s="22" t="str">
        <f aca="false">IFERROR(INDEX(Lists!$F$2:$F$15,MATCH(Y126,Lists!$E$2:$E$15,0)),"")</f>
        <v/>
      </c>
      <c r="AB126" s="21" t="str">
        <f aca="false">IF(OR(Z126="",AA126=""),"",Z126*AA126)</f>
        <v/>
      </c>
      <c r="AC126" s="20"/>
      <c r="AD126" s="11"/>
      <c r="AE126" s="20"/>
      <c r="AF126" s="11"/>
      <c r="AG126" s="11"/>
    </row>
    <row r="127" customFormat="false" ht="15" hidden="false" customHeight="false" outlineLevel="0" collapsed="false">
      <c r="A127" s="11"/>
      <c r="B127" s="11"/>
      <c r="C127" s="20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20"/>
      <c r="W127" s="20"/>
      <c r="X127" s="20"/>
      <c r="Y127" s="11"/>
      <c r="Z127" s="21"/>
      <c r="AA127" s="22" t="str">
        <f aca="false">IFERROR(INDEX(Lists!$F$2:$F$15,MATCH(Y127,Lists!$E$2:$E$15,0)),"")</f>
        <v/>
      </c>
      <c r="AB127" s="21" t="str">
        <f aca="false">IF(OR(Z127="",AA127=""),"",Z127*AA127)</f>
        <v/>
      </c>
      <c r="AC127" s="20"/>
      <c r="AD127" s="11"/>
      <c r="AE127" s="20"/>
      <c r="AF127" s="11"/>
      <c r="AG127" s="11"/>
    </row>
    <row r="128" customFormat="false" ht="15" hidden="false" customHeight="false" outlineLevel="0" collapsed="false">
      <c r="A128" s="11"/>
      <c r="B128" s="11"/>
      <c r="C128" s="20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20"/>
      <c r="W128" s="20"/>
      <c r="X128" s="20"/>
      <c r="Y128" s="11"/>
      <c r="Z128" s="21"/>
      <c r="AA128" s="22" t="str">
        <f aca="false">IFERROR(INDEX(Lists!$F$2:$F$15,MATCH(Y128,Lists!$E$2:$E$15,0)),"")</f>
        <v/>
      </c>
      <c r="AB128" s="21" t="str">
        <f aca="false">IF(OR(Z128="",AA128=""),"",Z128*AA128)</f>
        <v/>
      </c>
      <c r="AC128" s="20"/>
      <c r="AD128" s="11"/>
      <c r="AE128" s="20"/>
      <c r="AF128" s="11"/>
      <c r="AG128" s="11"/>
    </row>
    <row r="129" customFormat="false" ht="15" hidden="false" customHeight="false" outlineLevel="0" collapsed="false">
      <c r="A129" s="11"/>
      <c r="B129" s="11"/>
      <c r="C129" s="20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20"/>
      <c r="W129" s="20"/>
      <c r="X129" s="20"/>
      <c r="Y129" s="11"/>
      <c r="Z129" s="21"/>
      <c r="AA129" s="22" t="str">
        <f aca="false">IFERROR(INDEX(Lists!$F$2:$F$15,MATCH(Y129,Lists!$E$2:$E$15,0)),"")</f>
        <v/>
      </c>
      <c r="AB129" s="21" t="str">
        <f aca="false">IF(OR(Z129="",AA129=""),"",Z129*AA129)</f>
        <v/>
      </c>
      <c r="AC129" s="20"/>
      <c r="AD129" s="11"/>
      <c r="AE129" s="20"/>
      <c r="AF129" s="11"/>
      <c r="AG129" s="11"/>
    </row>
    <row r="130" customFormat="false" ht="15" hidden="false" customHeight="false" outlineLevel="0" collapsed="false">
      <c r="A130" s="11"/>
      <c r="B130" s="11"/>
      <c r="C130" s="20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20"/>
      <c r="W130" s="20"/>
      <c r="X130" s="20"/>
      <c r="Y130" s="11"/>
      <c r="Z130" s="21"/>
      <c r="AA130" s="22" t="str">
        <f aca="false">IFERROR(INDEX(Lists!$F$2:$F$15,MATCH(Y130,Lists!$E$2:$E$15,0)),"")</f>
        <v/>
      </c>
      <c r="AB130" s="21" t="str">
        <f aca="false">IF(OR(Z130="",AA130=""),"",Z130*AA130)</f>
        <v/>
      </c>
      <c r="AC130" s="20"/>
      <c r="AD130" s="11"/>
      <c r="AE130" s="20"/>
      <c r="AF130" s="11"/>
      <c r="AG130" s="11"/>
    </row>
    <row r="131" customFormat="false" ht="15" hidden="false" customHeight="false" outlineLevel="0" collapsed="false">
      <c r="A131" s="11"/>
      <c r="B131" s="11"/>
      <c r="C131" s="20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20"/>
      <c r="W131" s="20"/>
      <c r="X131" s="20"/>
      <c r="Y131" s="11"/>
      <c r="Z131" s="21"/>
      <c r="AA131" s="22" t="str">
        <f aca="false">IFERROR(INDEX(Lists!$F$2:$F$15,MATCH(Y131,Lists!$E$2:$E$15,0)),"")</f>
        <v/>
      </c>
      <c r="AB131" s="21" t="str">
        <f aca="false">IF(OR(Z131="",AA131=""),"",Z131*AA131)</f>
        <v/>
      </c>
      <c r="AC131" s="20"/>
      <c r="AD131" s="11"/>
      <c r="AE131" s="20"/>
      <c r="AF131" s="11"/>
      <c r="AG131" s="11"/>
    </row>
    <row r="132" customFormat="false" ht="15" hidden="false" customHeight="false" outlineLevel="0" collapsed="false">
      <c r="A132" s="11"/>
      <c r="B132" s="11"/>
      <c r="C132" s="20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20"/>
      <c r="W132" s="20"/>
      <c r="X132" s="20"/>
      <c r="Y132" s="11"/>
      <c r="Z132" s="21"/>
      <c r="AA132" s="22" t="str">
        <f aca="false">IFERROR(INDEX(Lists!$F$2:$F$15,MATCH(Y132,Lists!$E$2:$E$15,0)),"")</f>
        <v/>
      </c>
      <c r="AB132" s="21" t="str">
        <f aca="false">IF(OR(Z132="",AA132=""),"",Z132*AA132)</f>
        <v/>
      </c>
      <c r="AC132" s="20"/>
      <c r="AD132" s="11"/>
      <c r="AE132" s="20"/>
      <c r="AF132" s="11"/>
      <c r="AG132" s="11"/>
    </row>
    <row r="133" customFormat="false" ht="15" hidden="false" customHeight="false" outlineLevel="0" collapsed="false">
      <c r="A133" s="11"/>
      <c r="B133" s="11"/>
      <c r="C133" s="20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20"/>
      <c r="W133" s="20"/>
      <c r="X133" s="20"/>
      <c r="Y133" s="11"/>
      <c r="Z133" s="21"/>
      <c r="AA133" s="22" t="str">
        <f aca="false">IFERROR(INDEX(Lists!$F$2:$F$15,MATCH(Y133,Lists!$E$2:$E$15,0)),"")</f>
        <v/>
      </c>
      <c r="AB133" s="21" t="str">
        <f aca="false">IF(OR(Z133="",AA133=""),"",Z133*AA133)</f>
        <v/>
      </c>
      <c r="AC133" s="20"/>
      <c r="AD133" s="11"/>
      <c r="AE133" s="20"/>
      <c r="AF133" s="11"/>
      <c r="AG133" s="11"/>
    </row>
    <row r="134" customFormat="false" ht="15" hidden="false" customHeight="false" outlineLevel="0" collapsed="false">
      <c r="A134" s="11"/>
      <c r="B134" s="11"/>
      <c r="C134" s="20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20"/>
      <c r="W134" s="20"/>
      <c r="X134" s="20"/>
      <c r="Y134" s="11"/>
      <c r="Z134" s="21"/>
      <c r="AA134" s="22" t="str">
        <f aca="false">IFERROR(INDEX(Lists!$F$2:$F$15,MATCH(Y134,Lists!$E$2:$E$15,0)),"")</f>
        <v/>
      </c>
      <c r="AB134" s="21" t="str">
        <f aca="false">IF(OR(Z134="",AA134=""),"",Z134*AA134)</f>
        <v/>
      </c>
      <c r="AC134" s="20"/>
      <c r="AD134" s="11"/>
      <c r="AE134" s="20"/>
      <c r="AF134" s="11"/>
      <c r="AG134" s="11"/>
    </row>
    <row r="135" customFormat="false" ht="15" hidden="false" customHeight="false" outlineLevel="0" collapsed="false">
      <c r="A135" s="11"/>
      <c r="B135" s="11"/>
      <c r="C135" s="20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20"/>
      <c r="W135" s="20"/>
      <c r="X135" s="20"/>
      <c r="Y135" s="11"/>
      <c r="Z135" s="21"/>
      <c r="AA135" s="22" t="str">
        <f aca="false">IFERROR(INDEX(Lists!$F$2:$F$15,MATCH(Y135,Lists!$E$2:$E$15,0)),"")</f>
        <v/>
      </c>
      <c r="AB135" s="21" t="str">
        <f aca="false">IF(OR(Z135="",AA135=""),"",Z135*AA135)</f>
        <v/>
      </c>
      <c r="AC135" s="20"/>
      <c r="AD135" s="11"/>
      <c r="AE135" s="20"/>
      <c r="AF135" s="11"/>
      <c r="AG135" s="11"/>
    </row>
    <row r="136" customFormat="false" ht="15" hidden="false" customHeight="false" outlineLevel="0" collapsed="false">
      <c r="A136" s="11"/>
      <c r="B136" s="11"/>
      <c r="C136" s="20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20"/>
      <c r="W136" s="20"/>
      <c r="X136" s="20"/>
      <c r="Y136" s="11"/>
      <c r="Z136" s="21"/>
      <c r="AA136" s="22" t="str">
        <f aca="false">IFERROR(INDEX(Lists!$F$2:$F$15,MATCH(Y136,Lists!$E$2:$E$15,0)),"")</f>
        <v/>
      </c>
      <c r="AB136" s="21" t="str">
        <f aca="false">IF(OR(Z136="",AA136=""),"",Z136*AA136)</f>
        <v/>
      </c>
      <c r="AC136" s="20"/>
      <c r="AD136" s="11"/>
      <c r="AE136" s="20"/>
      <c r="AF136" s="11"/>
      <c r="AG136" s="11"/>
    </row>
    <row r="137" customFormat="false" ht="15" hidden="false" customHeight="false" outlineLevel="0" collapsed="false">
      <c r="A137" s="11"/>
      <c r="B137" s="11"/>
      <c r="C137" s="20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20"/>
      <c r="W137" s="20"/>
      <c r="X137" s="20"/>
      <c r="Y137" s="11"/>
      <c r="Z137" s="21"/>
      <c r="AA137" s="22" t="str">
        <f aca="false">IFERROR(INDEX(Lists!$F$2:$F$15,MATCH(Y137,Lists!$E$2:$E$15,0)),"")</f>
        <v/>
      </c>
      <c r="AB137" s="21" t="str">
        <f aca="false">IF(OR(Z137="",AA137=""),"",Z137*AA137)</f>
        <v/>
      </c>
      <c r="AC137" s="20"/>
      <c r="AD137" s="11"/>
      <c r="AE137" s="20"/>
      <c r="AF137" s="11"/>
      <c r="AG137" s="11"/>
    </row>
    <row r="138" customFormat="false" ht="15" hidden="false" customHeight="false" outlineLevel="0" collapsed="false">
      <c r="A138" s="11"/>
      <c r="B138" s="11"/>
      <c r="C138" s="20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20"/>
      <c r="W138" s="20"/>
      <c r="X138" s="20"/>
      <c r="Y138" s="11"/>
      <c r="Z138" s="21"/>
      <c r="AA138" s="22" t="str">
        <f aca="false">IFERROR(INDEX(Lists!$F$2:$F$15,MATCH(Y138,Lists!$E$2:$E$15,0)),"")</f>
        <v/>
      </c>
      <c r="AB138" s="21" t="str">
        <f aca="false">IF(OR(Z138="",AA138=""),"",Z138*AA138)</f>
        <v/>
      </c>
      <c r="AC138" s="20"/>
      <c r="AD138" s="11"/>
      <c r="AE138" s="20"/>
      <c r="AF138" s="11"/>
      <c r="AG138" s="11"/>
    </row>
    <row r="139" customFormat="false" ht="15" hidden="false" customHeight="false" outlineLevel="0" collapsed="false">
      <c r="A139" s="11"/>
      <c r="B139" s="11"/>
      <c r="C139" s="20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20"/>
      <c r="W139" s="20"/>
      <c r="X139" s="20"/>
      <c r="Y139" s="11"/>
      <c r="Z139" s="21"/>
      <c r="AA139" s="22" t="str">
        <f aca="false">IFERROR(INDEX(Lists!$F$2:$F$15,MATCH(Y139,Lists!$E$2:$E$15,0)),"")</f>
        <v/>
      </c>
      <c r="AB139" s="21" t="str">
        <f aca="false">IF(OR(Z139="",AA139=""),"",Z139*AA139)</f>
        <v/>
      </c>
      <c r="AC139" s="20"/>
      <c r="AD139" s="11"/>
      <c r="AE139" s="20"/>
      <c r="AF139" s="11"/>
      <c r="AG139" s="11"/>
    </row>
    <row r="140" customFormat="false" ht="15" hidden="false" customHeight="false" outlineLevel="0" collapsed="false">
      <c r="A140" s="11"/>
      <c r="B140" s="11"/>
      <c r="C140" s="20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20"/>
      <c r="W140" s="20"/>
      <c r="X140" s="20"/>
      <c r="Y140" s="11"/>
      <c r="Z140" s="21"/>
      <c r="AA140" s="22" t="str">
        <f aca="false">IFERROR(INDEX(Lists!$F$2:$F$15,MATCH(Y140,Lists!$E$2:$E$15,0)),"")</f>
        <v/>
      </c>
      <c r="AB140" s="21" t="str">
        <f aca="false">IF(OR(Z140="",AA140=""),"",Z140*AA140)</f>
        <v/>
      </c>
      <c r="AC140" s="20"/>
      <c r="AD140" s="11"/>
      <c r="AE140" s="20"/>
      <c r="AF140" s="11"/>
      <c r="AG140" s="11"/>
    </row>
    <row r="141" customFormat="false" ht="15" hidden="false" customHeight="false" outlineLevel="0" collapsed="false">
      <c r="A141" s="11"/>
      <c r="B141" s="11"/>
      <c r="C141" s="20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20"/>
      <c r="W141" s="20"/>
      <c r="X141" s="20"/>
      <c r="Y141" s="11"/>
      <c r="Z141" s="21"/>
      <c r="AA141" s="22" t="str">
        <f aca="false">IFERROR(INDEX(Lists!$F$2:$F$15,MATCH(Y141,Lists!$E$2:$E$15,0)),"")</f>
        <v/>
      </c>
      <c r="AB141" s="21" t="str">
        <f aca="false">IF(OR(Z141="",AA141=""),"",Z141*AA141)</f>
        <v/>
      </c>
      <c r="AC141" s="20"/>
      <c r="AD141" s="11"/>
      <c r="AE141" s="20"/>
      <c r="AF141" s="11"/>
      <c r="AG141" s="11"/>
    </row>
    <row r="142" customFormat="false" ht="15" hidden="false" customHeight="false" outlineLevel="0" collapsed="false">
      <c r="A142" s="11"/>
      <c r="B142" s="11"/>
      <c r="C142" s="20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20"/>
      <c r="W142" s="20"/>
      <c r="X142" s="20"/>
      <c r="Y142" s="11"/>
      <c r="Z142" s="21"/>
      <c r="AA142" s="22" t="str">
        <f aca="false">IFERROR(INDEX(Lists!$F$2:$F$15,MATCH(Y142,Lists!$E$2:$E$15,0)),"")</f>
        <v/>
      </c>
      <c r="AB142" s="21" t="str">
        <f aca="false">IF(OR(Z142="",AA142=""),"",Z142*AA142)</f>
        <v/>
      </c>
      <c r="AC142" s="20"/>
      <c r="AD142" s="11"/>
      <c r="AE142" s="20"/>
      <c r="AF142" s="11"/>
      <c r="AG142" s="11"/>
    </row>
    <row r="143" customFormat="false" ht="15" hidden="false" customHeight="false" outlineLevel="0" collapsed="false">
      <c r="A143" s="11"/>
      <c r="B143" s="11"/>
      <c r="C143" s="20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20"/>
      <c r="W143" s="20"/>
      <c r="X143" s="20"/>
      <c r="Y143" s="11"/>
      <c r="Z143" s="21"/>
      <c r="AA143" s="22" t="str">
        <f aca="false">IFERROR(INDEX(Lists!$F$2:$F$15,MATCH(Y143,Lists!$E$2:$E$15,0)),"")</f>
        <v/>
      </c>
      <c r="AB143" s="21" t="str">
        <f aca="false">IF(OR(Z143="",AA143=""),"",Z143*AA143)</f>
        <v/>
      </c>
      <c r="AC143" s="20"/>
      <c r="AD143" s="11"/>
      <c r="AE143" s="20"/>
      <c r="AF143" s="11"/>
      <c r="AG143" s="11"/>
    </row>
    <row r="144" customFormat="false" ht="15" hidden="false" customHeight="false" outlineLevel="0" collapsed="false">
      <c r="A144" s="11"/>
      <c r="B144" s="11"/>
      <c r="C144" s="20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20"/>
      <c r="W144" s="20"/>
      <c r="X144" s="20"/>
      <c r="Y144" s="11"/>
      <c r="Z144" s="21"/>
      <c r="AA144" s="22" t="str">
        <f aca="false">IFERROR(INDEX(Lists!$F$2:$F$15,MATCH(Y144,Lists!$E$2:$E$15,0)),"")</f>
        <v/>
      </c>
      <c r="AB144" s="21" t="str">
        <f aca="false">IF(OR(Z144="",AA144=""),"",Z144*AA144)</f>
        <v/>
      </c>
      <c r="AC144" s="20"/>
      <c r="AD144" s="11"/>
      <c r="AE144" s="20"/>
      <c r="AF144" s="11"/>
      <c r="AG144" s="11"/>
    </row>
    <row r="145" customFormat="false" ht="15" hidden="false" customHeight="false" outlineLevel="0" collapsed="false">
      <c r="A145" s="11"/>
      <c r="B145" s="11"/>
      <c r="C145" s="20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20"/>
      <c r="W145" s="20"/>
      <c r="X145" s="20"/>
      <c r="Y145" s="11"/>
      <c r="Z145" s="21"/>
      <c r="AA145" s="22" t="str">
        <f aca="false">IFERROR(INDEX(Lists!$F$2:$F$15,MATCH(Y145,Lists!$E$2:$E$15,0)),"")</f>
        <v/>
      </c>
      <c r="AB145" s="21" t="str">
        <f aca="false">IF(OR(Z145="",AA145=""),"",Z145*AA145)</f>
        <v/>
      </c>
      <c r="AC145" s="20"/>
      <c r="AD145" s="11"/>
      <c r="AE145" s="20"/>
      <c r="AF145" s="11"/>
      <c r="AG145" s="11"/>
    </row>
    <row r="146" customFormat="false" ht="15" hidden="false" customHeight="false" outlineLevel="0" collapsed="false">
      <c r="A146" s="11"/>
      <c r="B146" s="11"/>
      <c r="C146" s="20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20"/>
      <c r="W146" s="20"/>
      <c r="X146" s="20"/>
      <c r="Y146" s="11"/>
      <c r="Z146" s="21"/>
      <c r="AA146" s="22" t="str">
        <f aca="false">IFERROR(INDEX(Lists!$F$2:$F$15,MATCH(Y146,Lists!$E$2:$E$15,0)),"")</f>
        <v/>
      </c>
      <c r="AB146" s="21" t="str">
        <f aca="false">IF(OR(Z146="",AA146=""),"",Z146*AA146)</f>
        <v/>
      </c>
      <c r="AC146" s="20"/>
      <c r="AD146" s="11"/>
      <c r="AE146" s="20"/>
      <c r="AF146" s="11"/>
      <c r="AG146" s="11"/>
    </row>
    <row r="147" customFormat="false" ht="15" hidden="false" customHeight="false" outlineLevel="0" collapsed="false">
      <c r="A147" s="11"/>
      <c r="B147" s="11"/>
      <c r="C147" s="20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20"/>
      <c r="W147" s="20"/>
      <c r="X147" s="20"/>
      <c r="Y147" s="11"/>
      <c r="Z147" s="21"/>
      <c r="AA147" s="22" t="str">
        <f aca="false">IFERROR(INDEX(Lists!$F$2:$F$15,MATCH(Y147,Lists!$E$2:$E$15,0)),"")</f>
        <v/>
      </c>
      <c r="AB147" s="21" t="str">
        <f aca="false">IF(OR(Z147="",AA147=""),"",Z147*AA147)</f>
        <v/>
      </c>
      <c r="AC147" s="20"/>
      <c r="AD147" s="11"/>
      <c r="AE147" s="20"/>
      <c r="AF147" s="11"/>
      <c r="AG147" s="11"/>
    </row>
    <row r="148" customFormat="false" ht="15" hidden="false" customHeight="false" outlineLevel="0" collapsed="false">
      <c r="A148" s="11"/>
      <c r="B148" s="11"/>
      <c r="C148" s="20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20"/>
      <c r="W148" s="20"/>
      <c r="X148" s="20"/>
      <c r="Y148" s="11"/>
      <c r="Z148" s="21"/>
      <c r="AA148" s="22" t="str">
        <f aca="false">IFERROR(INDEX(Lists!$F$2:$F$15,MATCH(Y148,Lists!$E$2:$E$15,0)),"")</f>
        <v/>
      </c>
      <c r="AB148" s="21" t="str">
        <f aca="false">IF(OR(Z148="",AA148=""),"",Z148*AA148)</f>
        <v/>
      </c>
      <c r="AC148" s="20"/>
      <c r="AD148" s="11"/>
      <c r="AE148" s="20"/>
      <c r="AF148" s="11"/>
      <c r="AG148" s="11"/>
    </row>
    <row r="149" customFormat="false" ht="15" hidden="false" customHeight="false" outlineLevel="0" collapsed="false">
      <c r="A149" s="11"/>
      <c r="B149" s="11"/>
      <c r="C149" s="20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20"/>
      <c r="W149" s="20"/>
      <c r="X149" s="20"/>
      <c r="Y149" s="11"/>
      <c r="Z149" s="21"/>
      <c r="AA149" s="22" t="str">
        <f aca="false">IFERROR(INDEX(Lists!$F$2:$F$15,MATCH(Y149,Lists!$E$2:$E$15,0)),"")</f>
        <v/>
      </c>
      <c r="AB149" s="21" t="str">
        <f aca="false">IF(OR(Z149="",AA149=""),"",Z149*AA149)</f>
        <v/>
      </c>
      <c r="AC149" s="20"/>
      <c r="AD149" s="11"/>
      <c r="AE149" s="20"/>
      <c r="AF149" s="11"/>
      <c r="AG149" s="11"/>
    </row>
    <row r="150" customFormat="false" ht="15" hidden="false" customHeight="false" outlineLevel="0" collapsed="false">
      <c r="A150" s="11"/>
      <c r="B150" s="11"/>
      <c r="C150" s="20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20"/>
      <c r="W150" s="20"/>
      <c r="X150" s="20"/>
      <c r="Y150" s="11"/>
      <c r="Z150" s="21"/>
      <c r="AA150" s="22" t="str">
        <f aca="false">IFERROR(INDEX(Lists!$F$2:$F$15,MATCH(Y150,Lists!$E$2:$E$15,0)),"")</f>
        <v/>
      </c>
      <c r="AB150" s="21" t="str">
        <f aca="false">IF(OR(Z150="",AA150=""),"",Z150*AA150)</f>
        <v/>
      </c>
      <c r="AC150" s="20"/>
      <c r="AD150" s="11"/>
      <c r="AE150" s="20"/>
      <c r="AF150" s="11"/>
      <c r="AG150" s="11"/>
    </row>
    <row r="151" customFormat="false" ht="15" hidden="false" customHeight="false" outlineLevel="0" collapsed="false">
      <c r="A151" s="11"/>
      <c r="B151" s="11"/>
      <c r="C151" s="20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20"/>
      <c r="W151" s="20"/>
      <c r="X151" s="20"/>
      <c r="Y151" s="11"/>
      <c r="Z151" s="21"/>
      <c r="AA151" s="22" t="str">
        <f aca="false">IFERROR(INDEX(Lists!$F$2:$F$15,MATCH(Y151,Lists!$E$2:$E$15,0)),"")</f>
        <v/>
      </c>
      <c r="AB151" s="21" t="str">
        <f aca="false">IF(OR(Z151="",AA151=""),"",Z151*AA151)</f>
        <v/>
      </c>
      <c r="AC151" s="20"/>
      <c r="AD151" s="11"/>
      <c r="AE151" s="20"/>
      <c r="AF151" s="11"/>
      <c r="AG151" s="11"/>
    </row>
    <row r="152" customFormat="false" ht="15" hidden="false" customHeight="false" outlineLevel="0" collapsed="false">
      <c r="A152" s="11"/>
      <c r="B152" s="11"/>
      <c r="C152" s="20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20"/>
      <c r="W152" s="20"/>
      <c r="X152" s="20"/>
      <c r="Y152" s="11"/>
      <c r="Z152" s="21"/>
      <c r="AA152" s="22" t="str">
        <f aca="false">IFERROR(INDEX(Lists!$F$2:$F$15,MATCH(Y152,Lists!$E$2:$E$15,0)),"")</f>
        <v/>
      </c>
      <c r="AB152" s="21" t="str">
        <f aca="false">IF(OR(Z152="",AA152=""),"",Z152*AA152)</f>
        <v/>
      </c>
      <c r="AC152" s="20"/>
      <c r="AD152" s="11"/>
      <c r="AE152" s="20"/>
      <c r="AF152" s="11"/>
      <c r="AG152" s="11"/>
    </row>
    <row r="153" customFormat="false" ht="15" hidden="false" customHeight="false" outlineLevel="0" collapsed="false">
      <c r="A153" s="11"/>
      <c r="B153" s="11"/>
      <c r="C153" s="20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20"/>
      <c r="W153" s="20"/>
      <c r="X153" s="20"/>
      <c r="Y153" s="11"/>
      <c r="Z153" s="21"/>
      <c r="AA153" s="22" t="str">
        <f aca="false">IFERROR(INDEX(Lists!$F$2:$F$15,MATCH(Y153,Lists!$E$2:$E$15,0)),"")</f>
        <v/>
      </c>
      <c r="AB153" s="21" t="str">
        <f aca="false">IF(OR(Z153="",AA153=""),"",Z153*AA153)</f>
        <v/>
      </c>
      <c r="AC153" s="20"/>
      <c r="AD153" s="11"/>
      <c r="AE153" s="20"/>
      <c r="AF153" s="11"/>
      <c r="AG153" s="11"/>
    </row>
    <row r="154" customFormat="false" ht="15" hidden="false" customHeight="false" outlineLevel="0" collapsed="false">
      <c r="A154" s="11"/>
      <c r="B154" s="11"/>
      <c r="C154" s="20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20"/>
      <c r="W154" s="20"/>
      <c r="X154" s="20"/>
      <c r="Y154" s="11"/>
      <c r="Z154" s="21"/>
      <c r="AA154" s="22" t="str">
        <f aca="false">IFERROR(INDEX(Lists!$F$2:$F$15,MATCH(Y154,Lists!$E$2:$E$15,0)),"")</f>
        <v/>
      </c>
      <c r="AB154" s="21" t="str">
        <f aca="false">IF(OR(Z154="",AA154=""),"",Z154*AA154)</f>
        <v/>
      </c>
      <c r="AC154" s="20"/>
      <c r="AD154" s="11"/>
      <c r="AE154" s="20"/>
      <c r="AF154" s="11"/>
      <c r="AG154" s="11"/>
    </row>
    <row r="155" customFormat="false" ht="15" hidden="false" customHeight="false" outlineLevel="0" collapsed="false">
      <c r="A155" s="11"/>
      <c r="B155" s="11"/>
      <c r="C155" s="20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20"/>
      <c r="W155" s="20"/>
      <c r="X155" s="20"/>
      <c r="Y155" s="11"/>
      <c r="Z155" s="21"/>
      <c r="AA155" s="22" t="str">
        <f aca="false">IFERROR(INDEX(Lists!$F$2:$F$15,MATCH(Y155,Lists!$E$2:$E$15,0)),"")</f>
        <v/>
      </c>
      <c r="AB155" s="21" t="str">
        <f aca="false">IF(OR(Z155="",AA155=""),"",Z155*AA155)</f>
        <v/>
      </c>
      <c r="AC155" s="20"/>
      <c r="AD155" s="11"/>
      <c r="AE155" s="20"/>
      <c r="AF155" s="11"/>
      <c r="AG155" s="11"/>
    </row>
    <row r="156" customFormat="false" ht="15" hidden="false" customHeight="false" outlineLevel="0" collapsed="false">
      <c r="A156" s="11"/>
      <c r="B156" s="11"/>
      <c r="C156" s="20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20"/>
      <c r="W156" s="20"/>
      <c r="X156" s="20"/>
      <c r="Y156" s="11"/>
      <c r="Z156" s="21"/>
      <c r="AA156" s="22" t="str">
        <f aca="false">IFERROR(INDEX(Lists!$F$2:$F$15,MATCH(Y156,Lists!$E$2:$E$15,0)),"")</f>
        <v/>
      </c>
      <c r="AB156" s="21" t="str">
        <f aca="false">IF(OR(Z156="",AA156=""),"",Z156*AA156)</f>
        <v/>
      </c>
      <c r="AC156" s="20"/>
      <c r="AD156" s="11"/>
      <c r="AE156" s="20"/>
      <c r="AF156" s="11"/>
      <c r="AG156" s="11"/>
    </row>
    <row r="157" customFormat="false" ht="15" hidden="false" customHeight="false" outlineLevel="0" collapsed="false">
      <c r="A157" s="11"/>
      <c r="B157" s="11"/>
      <c r="C157" s="20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20"/>
      <c r="W157" s="20"/>
      <c r="X157" s="20"/>
      <c r="Y157" s="11"/>
      <c r="Z157" s="21"/>
      <c r="AA157" s="22" t="str">
        <f aca="false">IFERROR(INDEX(Lists!$F$2:$F$15,MATCH(Y157,Lists!$E$2:$E$15,0)),"")</f>
        <v/>
      </c>
      <c r="AB157" s="21" t="str">
        <f aca="false">IF(OR(Z157="",AA157=""),"",Z157*AA157)</f>
        <v/>
      </c>
      <c r="AC157" s="20"/>
      <c r="AD157" s="11"/>
      <c r="AE157" s="20"/>
      <c r="AF157" s="11"/>
      <c r="AG157" s="11"/>
    </row>
    <row r="158" customFormat="false" ht="15" hidden="false" customHeight="false" outlineLevel="0" collapsed="false">
      <c r="A158" s="11"/>
      <c r="B158" s="11"/>
      <c r="C158" s="20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20"/>
      <c r="W158" s="20"/>
      <c r="X158" s="20"/>
      <c r="Y158" s="11"/>
      <c r="Z158" s="21"/>
      <c r="AA158" s="22" t="str">
        <f aca="false">IFERROR(INDEX(Lists!$F$2:$F$15,MATCH(Y158,Lists!$E$2:$E$15,0)),"")</f>
        <v/>
      </c>
      <c r="AB158" s="21" t="str">
        <f aca="false">IF(OR(Z158="",AA158=""),"",Z158*AA158)</f>
        <v/>
      </c>
      <c r="AC158" s="20"/>
      <c r="AD158" s="11"/>
      <c r="AE158" s="20"/>
      <c r="AF158" s="11"/>
      <c r="AG158" s="11"/>
    </row>
    <row r="159" customFormat="false" ht="15" hidden="false" customHeight="false" outlineLevel="0" collapsed="false">
      <c r="A159" s="11"/>
      <c r="B159" s="11"/>
      <c r="C159" s="20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20"/>
      <c r="W159" s="20"/>
      <c r="X159" s="20"/>
      <c r="Y159" s="11"/>
      <c r="Z159" s="21"/>
      <c r="AA159" s="22" t="str">
        <f aca="false">IFERROR(INDEX(Lists!$F$2:$F$15,MATCH(Y159,Lists!$E$2:$E$15,0)),"")</f>
        <v/>
      </c>
      <c r="AB159" s="21" t="str">
        <f aca="false">IF(OR(Z159="",AA159=""),"",Z159*AA159)</f>
        <v/>
      </c>
      <c r="AC159" s="20"/>
      <c r="AD159" s="11"/>
      <c r="AE159" s="20"/>
      <c r="AF159" s="11"/>
      <c r="AG159" s="11"/>
    </row>
    <row r="160" customFormat="false" ht="15" hidden="false" customHeight="false" outlineLevel="0" collapsed="false">
      <c r="A160" s="11"/>
      <c r="B160" s="11"/>
      <c r="C160" s="20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20"/>
      <c r="W160" s="20"/>
      <c r="X160" s="20"/>
      <c r="Y160" s="11"/>
      <c r="Z160" s="21"/>
      <c r="AA160" s="22" t="str">
        <f aca="false">IFERROR(INDEX(Lists!$F$2:$F$15,MATCH(Y160,Lists!$E$2:$E$15,0)),"")</f>
        <v/>
      </c>
      <c r="AB160" s="21" t="str">
        <f aca="false">IF(OR(Z160="",AA160=""),"",Z160*AA160)</f>
        <v/>
      </c>
      <c r="AC160" s="20"/>
      <c r="AD160" s="11"/>
      <c r="AE160" s="20"/>
      <c r="AF160" s="11"/>
      <c r="AG160" s="11"/>
    </row>
    <row r="161" customFormat="false" ht="15" hidden="false" customHeight="false" outlineLevel="0" collapsed="false">
      <c r="A161" s="11"/>
      <c r="B161" s="11"/>
      <c r="C161" s="20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20"/>
      <c r="W161" s="20"/>
      <c r="X161" s="20"/>
      <c r="Y161" s="11"/>
      <c r="Z161" s="21"/>
      <c r="AA161" s="22" t="str">
        <f aca="false">IFERROR(INDEX(Lists!$F$2:$F$15,MATCH(Y161,Lists!$E$2:$E$15,0)),"")</f>
        <v/>
      </c>
      <c r="AB161" s="21" t="str">
        <f aca="false">IF(OR(Z161="",AA161=""),"",Z161*AA161)</f>
        <v/>
      </c>
      <c r="AC161" s="20"/>
      <c r="AD161" s="11"/>
      <c r="AE161" s="20"/>
      <c r="AF161" s="11"/>
      <c r="AG161" s="11"/>
    </row>
    <row r="162" customFormat="false" ht="15" hidden="false" customHeight="false" outlineLevel="0" collapsed="false">
      <c r="A162" s="11"/>
      <c r="B162" s="11"/>
      <c r="C162" s="20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20"/>
      <c r="W162" s="20"/>
      <c r="X162" s="20"/>
      <c r="Y162" s="11"/>
      <c r="Z162" s="21"/>
      <c r="AA162" s="22" t="str">
        <f aca="false">IFERROR(INDEX(Lists!$F$2:$F$15,MATCH(Y162,Lists!$E$2:$E$15,0)),"")</f>
        <v/>
      </c>
      <c r="AB162" s="21" t="str">
        <f aca="false">IF(OR(Z162="",AA162=""),"",Z162*AA162)</f>
        <v/>
      </c>
      <c r="AC162" s="20"/>
      <c r="AD162" s="11"/>
      <c r="AE162" s="20"/>
      <c r="AF162" s="11"/>
      <c r="AG162" s="11"/>
    </row>
    <row r="163" customFormat="false" ht="15" hidden="false" customHeight="false" outlineLevel="0" collapsed="false">
      <c r="A163" s="11"/>
      <c r="B163" s="11"/>
      <c r="C163" s="20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20"/>
      <c r="W163" s="20"/>
      <c r="X163" s="20"/>
      <c r="Y163" s="11"/>
      <c r="Z163" s="21"/>
      <c r="AA163" s="22" t="str">
        <f aca="false">IFERROR(INDEX(Lists!$F$2:$F$15,MATCH(Y163,Lists!$E$2:$E$15,0)),"")</f>
        <v/>
      </c>
      <c r="AB163" s="21" t="str">
        <f aca="false">IF(OR(Z163="",AA163=""),"",Z163*AA163)</f>
        <v/>
      </c>
      <c r="AC163" s="20"/>
      <c r="AD163" s="11"/>
      <c r="AE163" s="20"/>
      <c r="AF163" s="11"/>
      <c r="AG163" s="11"/>
    </row>
    <row r="164" customFormat="false" ht="15" hidden="false" customHeight="false" outlineLevel="0" collapsed="false">
      <c r="A164" s="11"/>
      <c r="B164" s="11"/>
      <c r="C164" s="20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20"/>
      <c r="W164" s="20"/>
      <c r="X164" s="20"/>
      <c r="Y164" s="11"/>
      <c r="Z164" s="21"/>
      <c r="AA164" s="22" t="str">
        <f aca="false">IFERROR(INDEX(Lists!$F$2:$F$15,MATCH(Y164,Lists!$E$2:$E$15,0)),"")</f>
        <v/>
      </c>
      <c r="AB164" s="21" t="str">
        <f aca="false">IF(OR(Z164="",AA164=""),"",Z164*AA164)</f>
        <v/>
      </c>
      <c r="AC164" s="20"/>
      <c r="AD164" s="11"/>
      <c r="AE164" s="20"/>
      <c r="AF164" s="11"/>
      <c r="AG164" s="11"/>
    </row>
    <row r="165" customFormat="false" ht="15" hidden="false" customHeight="false" outlineLevel="0" collapsed="false">
      <c r="A165" s="11"/>
      <c r="B165" s="11"/>
      <c r="C165" s="20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20"/>
      <c r="W165" s="20"/>
      <c r="X165" s="20"/>
      <c r="Y165" s="11"/>
      <c r="Z165" s="21"/>
      <c r="AA165" s="22" t="str">
        <f aca="false">IFERROR(INDEX(Lists!$F$2:$F$15,MATCH(Y165,Lists!$E$2:$E$15,0)),"")</f>
        <v/>
      </c>
      <c r="AB165" s="21" t="str">
        <f aca="false">IF(OR(Z165="",AA165=""),"",Z165*AA165)</f>
        <v/>
      </c>
      <c r="AC165" s="20"/>
      <c r="AD165" s="11"/>
      <c r="AE165" s="20"/>
      <c r="AF165" s="11"/>
      <c r="AG165" s="11"/>
    </row>
    <row r="166" customFormat="false" ht="15" hidden="false" customHeight="false" outlineLevel="0" collapsed="false">
      <c r="A166" s="11"/>
      <c r="B166" s="11"/>
      <c r="C166" s="20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20"/>
      <c r="W166" s="20"/>
      <c r="X166" s="20"/>
      <c r="Y166" s="11"/>
      <c r="Z166" s="21"/>
      <c r="AA166" s="22" t="str">
        <f aca="false">IFERROR(INDEX(Lists!$F$2:$F$15,MATCH(Y166,Lists!$E$2:$E$15,0)),"")</f>
        <v/>
      </c>
      <c r="AB166" s="21" t="str">
        <f aca="false">IF(OR(Z166="",AA166=""),"",Z166*AA166)</f>
        <v/>
      </c>
      <c r="AC166" s="20"/>
      <c r="AD166" s="11"/>
      <c r="AE166" s="20"/>
      <c r="AF166" s="11"/>
      <c r="AG166" s="11"/>
    </row>
    <row r="167" customFormat="false" ht="15" hidden="false" customHeight="false" outlineLevel="0" collapsed="false">
      <c r="A167" s="11"/>
      <c r="B167" s="11"/>
      <c r="C167" s="20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20"/>
      <c r="W167" s="20"/>
      <c r="X167" s="20"/>
      <c r="Y167" s="11"/>
      <c r="Z167" s="21"/>
      <c r="AA167" s="22" t="str">
        <f aca="false">IFERROR(INDEX(Lists!$F$2:$F$15,MATCH(Y167,Lists!$E$2:$E$15,0)),"")</f>
        <v/>
      </c>
      <c r="AB167" s="21" t="str">
        <f aca="false">IF(OR(Z167="",AA167=""),"",Z167*AA167)</f>
        <v/>
      </c>
      <c r="AC167" s="20"/>
      <c r="AD167" s="11"/>
      <c r="AE167" s="20"/>
      <c r="AF167" s="11"/>
      <c r="AG167" s="11"/>
    </row>
    <row r="168" customFormat="false" ht="15" hidden="false" customHeight="false" outlineLevel="0" collapsed="false">
      <c r="A168" s="11"/>
      <c r="B168" s="11"/>
      <c r="C168" s="20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20"/>
      <c r="W168" s="20"/>
      <c r="X168" s="20"/>
      <c r="Y168" s="11"/>
      <c r="Z168" s="21"/>
      <c r="AA168" s="22" t="str">
        <f aca="false">IFERROR(INDEX(Lists!$F$2:$F$15,MATCH(Y168,Lists!$E$2:$E$15,0)),"")</f>
        <v/>
      </c>
      <c r="AB168" s="21" t="str">
        <f aca="false">IF(OR(Z168="",AA168=""),"",Z168*AA168)</f>
        <v/>
      </c>
      <c r="AC168" s="20"/>
      <c r="AD168" s="11"/>
      <c r="AE168" s="20"/>
      <c r="AF168" s="11"/>
      <c r="AG168" s="11"/>
    </row>
    <row r="169" customFormat="false" ht="15" hidden="false" customHeight="false" outlineLevel="0" collapsed="false">
      <c r="A169" s="11"/>
      <c r="B169" s="11"/>
      <c r="C169" s="20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20"/>
      <c r="W169" s="20"/>
      <c r="X169" s="20"/>
      <c r="Y169" s="11"/>
      <c r="Z169" s="21"/>
      <c r="AA169" s="22" t="str">
        <f aca="false">IFERROR(INDEX(Lists!$F$2:$F$15,MATCH(Y169,Lists!$E$2:$E$15,0)),"")</f>
        <v/>
      </c>
      <c r="AB169" s="21" t="str">
        <f aca="false">IF(OR(Z169="",AA169=""),"",Z169*AA169)</f>
        <v/>
      </c>
      <c r="AC169" s="20"/>
      <c r="AD169" s="11"/>
      <c r="AE169" s="20"/>
      <c r="AF169" s="11"/>
      <c r="AG169" s="11"/>
    </row>
    <row r="170" customFormat="false" ht="15" hidden="false" customHeight="false" outlineLevel="0" collapsed="false">
      <c r="A170" s="11"/>
      <c r="B170" s="11"/>
      <c r="C170" s="20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20"/>
      <c r="W170" s="20"/>
      <c r="X170" s="20"/>
      <c r="Y170" s="11"/>
      <c r="Z170" s="21"/>
      <c r="AA170" s="22" t="str">
        <f aca="false">IFERROR(INDEX(Lists!$F$2:$F$15,MATCH(Y170,Lists!$E$2:$E$15,0)),"")</f>
        <v/>
      </c>
      <c r="AB170" s="21" t="str">
        <f aca="false">IF(OR(Z170="",AA170=""),"",Z170*AA170)</f>
        <v/>
      </c>
      <c r="AC170" s="20"/>
      <c r="AD170" s="11"/>
      <c r="AE170" s="20"/>
      <c r="AF170" s="11"/>
      <c r="AG170" s="11"/>
    </row>
    <row r="171" customFormat="false" ht="15" hidden="false" customHeight="false" outlineLevel="0" collapsed="false">
      <c r="A171" s="11"/>
      <c r="B171" s="11"/>
      <c r="C171" s="20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20"/>
      <c r="W171" s="20"/>
      <c r="X171" s="20"/>
      <c r="Y171" s="11"/>
      <c r="Z171" s="21"/>
      <c r="AA171" s="22" t="str">
        <f aca="false">IFERROR(INDEX(Lists!$F$2:$F$15,MATCH(Y171,Lists!$E$2:$E$15,0)),"")</f>
        <v/>
      </c>
      <c r="AB171" s="21" t="str">
        <f aca="false">IF(OR(Z171="",AA171=""),"",Z171*AA171)</f>
        <v/>
      </c>
      <c r="AC171" s="20"/>
      <c r="AD171" s="11"/>
      <c r="AE171" s="20"/>
      <c r="AF171" s="11"/>
      <c r="AG171" s="11"/>
    </row>
    <row r="172" customFormat="false" ht="15" hidden="false" customHeight="false" outlineLevel="0" collapsed="false">
      <c r="A172" s="11"/>
      <c r="B172" s="11"/>
      <c r="C172" s="20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20"/>
      <c r="W172" s="20"/>
      <c r="X172" s="20"/>
      <c r="Y172" s="11"/>
      <c r="Z172" s="21"/>
      <c r="AA172" s="22" t="str">
        <f aca="false">IFERROR(INDEX(Lists!$F$2:$F$15,MATCH(Y172,Lists!$E$2:$E$15,0)),"")</f>
        <v/>
      </c>
      <c r="AB172" s="21" t="str">
        <f aca="false">IF(OR(Z172="",AA172=""),"",Z172*AA172)</f>
        <v/>
      </c>
      <c r="AC172" s="20"/>
      <c r="AD172" s="11"/>
      <c r="AE172" s="20"/>
      <c r="AF172" s="11"/>
      <c r="AG172" s="11"/>
    </row>
    <row r="173" customFormat="false" ht="15" hidden="false" customHeight="false" outlineLevel="0" collapsed="false">
      <c r="A173" s="11"/>
      <c r="B173" s="11"/>
      <c r="C173" s="20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20"/>
      <c r="W173" s="20"/>
      <c r="X173" s="20"/>
      <c r="Y173" s="11"/>
      <c r="Z173" s="21"/>
      <c r="AA173" s="22" t="str">
        <f aca="false">IFERROR(INDEX(Lists!$F$2:$F$15,MATCH(Y173,Lists!$E$2:$E$15,0)),"")</f>
        <v/>
      </c>
      <c r="AB173" s="21" t="str">
        <f aca="false">IF(OR(Z173="",AA173=""),"",Z173*AA173)</f>
        <v/>
      </c>
      <c r="AC173" s="20"/>
      <c r="AD173" s="11"/>
      <c r="AE173" s="20"/>
      <c r="AF173" s="11"/>
      <c r="AG173" s="11"/>
    </row>
    <row r="174" customFormat="false" ht="15" hidden="false" customHeight="false" outlineLevel="0" collapsed="false">
      <c r="A174" s="11"/>
      <c r="B174" s="11"/>
      <c r="C174" s="20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20"/>
      <c r="W174" s="20"/>
      <c r="X174" s="20"/>
      <c r="Y174" s="11"/>
      <c r="Z174" s="21"/>
      <c r="AA174" s="22" t="str">
        <f aca="false">IFERROR(INDEX(Lists!$F$2:$F$15,MATCH(Y174,Lists!$E$2:$E$15,0)),"")</f>
        <v/>
      </c>
      <c r="AB174" s="21" t="str">
        <f aca="false">IF(OR(Z174="",AA174=""),"",Z174*AA174)</f>
        <v/>
      </c>
      <c r="AC174" s="20"/>
      <c r="AD174" s="11"/>
      <c r="AE174" s="20"/>
      <c r="AF174" s="11"/>
      <c r="AG174" s="11"/>
    </row>
    <row r="175" customFormat="false" ht="15" hidden="false" customHeight="false" outlineLevel="0" collapsed="false">
      <c r="A175" s="11"/>
      <c r="B175" s="11"/>
      <c r="C175" s="20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20"/>
      <c r="W175" s="20"/>
      <c r="X175" s="20"/>
      <c r="Y175" s="11"/>
      <c r="Z175" s="21"/>
      <c r="AA175" s="22" t="str">
        <f aca="false">IFERROR(INDEX(Lists!$F$2:$F$15,MATCH(Y175,Lists!$E$2:$E$15,0)),"")</f>
        <v/>
      </c>
      <c r="AB175" s="21" t="str">
        <f aca="false">IF(OR(Z175="",AA175=""),"",Z175*AA175)</f>
        <v/>
      </c>
      <c r="AC175" s="20"/>
      <c r="AD175" s="11"/>
      <c r="AE175" s="20"/>
      <c r="AF175" s="11"/>
      <c r="AG175" s="11"/>
    </row>
    <row r="176" customFormat="false" ht="15" hidden="false" customHeight="false" outlineLevel="0" collapsed="false">
      <c r="A176" s="11"/>
      <c r="B176" s="11"/>
      <c r="C176" s="20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20"/>
      <c r="W176" s="20"/>
      <c r="X176" s="20"/>
      <c r="Y176" s="11"/>
      <c r="Z176" s="21"/>
      <c r="AA176" s="22" t="str">
        <f aca="false">IFERROR(INDEX(Lists!$F$2:$F$15,MATCH(Y176,Lists!$E$2:$E$15,0)),"")</f>
        <v/>
      </c>
      <c r="AB176" s="21" t="str">
        <f aca="false">IF(OR(Z176="",AA176=""),"",Z176*AA176)</f>
        <v/>
      </c>
      <c r="AC176" s="20"/>
      <c r="AD176" s="11"/>
      <c r="AE176" s="20"/>
      <c r="AF176" s="11"/>
      <c r="AG176" s="11"/>
    </row>
    <row r="177" customFormat="false" ht="15" hidden="false" customHeight="false" outlineLevel="0" collapsed="false">
      <c r="A177" s="11"/>
      <c r="B177" s="11"/>
      <c r="C177" s="20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20"/>
      <c r="W177" s="20"/>
      <c r="X177" s="20"/>
      <c r="Y177" s="11"/>
      <c r="Z177" s="21"/>
      <c r="AA177" s="22" t="str">
        <f aca="false">IFERROR(INDEX(Lists!$F$2:$F$15,MATCH(Y177,Lists!$E$2:$E$15,0)),"")</f>
        <v/>
      </c>
      <c r="AB177" s="21" t="str">
        <f aca="false">IF(OR(Z177="",AA177=""),"",Z177*AA177)</f>
        <v/>
      </c>
      <c r="AC177" s="20"/>
      <c r="AD177" s="11"/>
      <c r="AE177" s="20"/>
      <c r="AF177" s="11"/>
      <c r="AG177" s="11"/>
    </row>
    <row r="178" customFormat="false" ht="15" hidden="false" customHeight="false" outlineLevel="0" collapsed="false">
      <c r="A178" s="11"/>
      <c r="B178" s="11"/>
      <c r="C178" s="20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20"/>
      <c r="W178" s="20"/>
      <c r="X178" s="20"/>
      <c r="Y178" s="11"/>
      <c r="Z178" s="21"/>
      <c r="AA178" s="22" t="str">
        <f aca="false">IFERROR(INDEX(Lists!$F$2:$F$15,MATCH(Y178,Lists!$E$2:$E$15,0)),"")</f>
        <v/>
      </c>
      <c r="AB178" s="21" t="str">
        <f aca="false">IF(OR(Z178="",AA178=""),"",Z178*AA178)</f>
        <v/>
      </c>
      <c r="AC178" s="20"/>
      <c r="AD178" s="11"/>
      <c r="AE178" s="20"/>
      <c r="AF178" s="11"/>
      <c r="AG178" s="11"/>
    </row>
    <row r="179" customFormat="false" ht="15" hidden="false" customHeight="false" outlineLevel="0" collapsed="false">
      <c r="A179" s="11"/>
      <c r="B179" s="11"/>
      <c r="C179" s="20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20"/>
      <c r="W179" s="20"/>
      <c r="X179" s="20"/>
      <c r="Y179" s="11"/>
      <c r="Z179" s="21"/>
      <c r="AA179" s="22" t="str">
        <f aca="false">IFERROR(INDEX(Lists!$F$2:$F$15,MATCH(Y179,Lists!$E$2:$E$15,0)),"")</f>
        <v/>
      </c>
      <c r="AB179" s="21" t="str">
        <f aca="false">IF(OR(Z179="",AA179=""),"",Z179*AA179)</f>
        <v/>
      </c>
      <c r="AC179" s="20"/>
      <c r="AD179" s="11"/>
      <c r="AE179" s="20"/>
      <c r="AF179" s="11"/>
      <c r="AG179" s="11"/>
    </row>
    <row r="180" customFormat="false" ht="15" hidden="false" customHeight="false" outlineLevel="0" collapsed="false">
      <c r="A180" s="11"/>
      <c r="B180" s="11"/>
      <c r="C180" s="20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20"/>
      <c r="W180" s="20"/>
      <c r="X180" s="20"/>
      <c r="Y180" s="11"/>
      <c r="Z180" s="21"/>
      <c r="AA180" s="22" t="str">
        <f aca="false">IFERROR(INDEX(Lists!$F$2:$F$15,MATCH(Y180,Lists!$E$2:$E$15,0)),"")</f>
        <v/>
      </c>
      <c r="AB180" s="21" t="str">
        <f aca="false">IF(OR(Z180="",AA180=""),"",Z180*AA180)</f>
        <v/>
      </c>
      <c r="AC180" s="20"/>
      <c r="AD180" s="11"/>
      <c r="AE180" s="20"/>
      <c r="AF180" s="11"/>
      <c r="AG180" s="11"/>
    </row>
    <row r="181" customFormat="false" ht="15" hidden="false" customHeight="false" outlineLevel="0" collapsed="false">
      <c r="A181" s="11"/>
      <c r="B181" s="11"/>
      <c r="C181" s="20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20"/>
      <c r="W181" s="20"/>
      <c r="X181" s="20"/>
      <c r="Y181" s="11"/>
      <c r="Z181" s="21"/>
      <c r="AA181" s="22" t="str">
        <f aca="false">IFERROR(INDEX(Lists!$F$2:$F$15,MATCH(Y181,Lists!$E$2:$E$15,0)),"")</f>
        <v/>
      </c>
      <c r="AB181" s="21" t="str">
        <f aca="false">IF(OR(Z181="",AA181=""),"",Z181*AA181)</f>
        <v/>
      </c>
      <c r="AC181" s="20"/>
      <c r="AD181" s="11"/>
      <c r="AE181" s="20"/>
      <c r="AF181" s="11"/>
      <c r="AG181" s="11"/>
    </row>
    <row r="182" customFormat="false" ht="15" hidden="false" customHeight="false" outlineLevel="0" collapsed="false">
      <c r="A182" s="11"/>
      <c r="B182" s="11"/>
      <c r="C182" s="20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20"/>
      <c r="W182" s="20"/>
      <c r="X182" s="20"/>
      <c r="Y182" s="11"/>
      <c r="Z182" s="21"/>
      <c r="AA182" s="22" t="str">
        <f aca="false">IFERROR(INDEX(Lists!$F$2:$F$15,MATCH(Y182,Lists!$E$2:$E$15,0)),"")</f>
        <v/>
      </c>
      <c r="AB182" s="21" t="str">
        <f aca="false">IF(OR(Z182="",AA182=""),"",Z182*AA182)</f>
        <v/>
      </c>
      <c r="AC182" s="20"/>
      <c r="AD182" s="11"/>
      <c r="AE182" s="20"/>
      <c r="AF182" s="11"/>
      <c r="AG182" s="11"/>
    </row>
    <row r="183" customFormat="false" ht="15" hidden="false" customHeight="false" outlineLevel="0" collapsed="false">
      <c r="A183" s="11"/>
      <c r="B183" s="11"/>
      <c r="C183" s="20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20"/>
      <c r="W183" s="20"/>
      <c r="X183" s="20"/>
      <c r="Y183" s="11"/>
      <c r="Z183" s="21"/>
      <c r="AA183" s="22" t="str">
        <f aca="false">IFERROR(INDEX(Lists!$F$2:$F$15,MATCH(Y183,Lists!$E$2:$E$15,0)),"")</f>
        <v/>
      </c>
      <c r="AB183" s="21" t="str">
        <f aca="false">IF(OR(Z183="",AA183=""),"",Z183*AA183)</f>
        <v/>
      </c>
      <c r="AC183" s="20"/>
      <c r="AD183" s="11"/>
      <c r="AE183" s="20"/>
      <c r="AF183" s="11"/>
      <c r="AG183" s="11"/>
    </row>
    <row r="184" customFormat="false" ht="15" hidden="false" customHeight="false" outlineLevel="0" collapsed="false">
      <c r="A184" s="11"/>
      <c r="B184" s="11"/>
      <c r="C184" s="20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20"/>
      <c r="W184" s="20"/>
      <c r="X184" s="20"/>
      <c r="Y184" s="11"/>
      <c r="Z184" s="21"/>
      <c r="AA184" s="22" t="str">
        <f aca="false">IFERROR(INDEX(Lists!$F$2:$F$15,MATCH(Y184,Lists!$E$2:$E$15,0)),"")</f>
        <v/>
      </c>
      <c r="AB184" s="21" t="str">
        <f aca="false">IF(OR(Z184="",AA184=""),"",Z184*AA184)</f>
        <v/>
      </c>
      <c r="AC184" s="20"/>
      <c r="AD184" s="11"/>
      <c r="AE184" s="20"/>
      <c r="AF184" s="11"/>
      <c r="AG184" s="11"/>
    </row>
    <row r="185" customFormat="false" ht="15" hidden="false" customHeight="false" outlineLevel="0" collapsed="false">
      <c r="A185" s="11"/>
      <c r="B185" s="11"/>
      <c r="C185" s="20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20"/>
      <c r="W185" s="20"/>
      <c r="X185" s="20"/>
      <c r="Y185" s="11"/>
      <c r="Z185" s="21"/>
      <c r="AA185" s="22" t="str">
        <f aca="false">IFERROR(INDEX(Lists!$F$2:$F$15,MATCH(Y185,Lists!$E$2:$E$15,0)),"")</f>
        <v/>
      </c>
      <c r="AB185" s="21" t="str">
        <f aca="false">IF(OR(Z185="",AA185=""),"",Z185*AA185)</f>
        <v/>
      </c>
      <c r="AC185" s="20"/>
      <c r="AD185" s="11"/>
      <c r="AE185" s="20"/>
      <c r="AF185" s="11"/>
      <c r="AG185" s="11"/>
    </row>
    <row r="186" customFormat="false" ht="15" hidden="false" customHeight="false" outlineLevel="0" collapsed="false">
      <c r="A186" s="11"/>
      <c r="B186" s="11"/>
      <c r="C186" s="20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20"/>
      <c r="W186" s="20"/>
      <c r="X186" s="20"/>
      <c r="Y186" s="11"/>
      <c r="Z186" s="21"/>
      <c r="AA186" s="22" t="str">
        <f aca="false">IFERROR(INDEX(Lists!$F$2:$F$15,MATCH(Y186,Lists!$E$2:$E$15,0)),"")</f>
        <v/>
      </c>
      <c r="AB186" s="21" t="str">
        <f aca="false">IF(OR(Z186="",AA186=""),"",Z186*AA186)</f>
        <v/>
      </c>
      <c r="AC186" s="20"/>
      <c r="AD186" s="11"/>
      <c r="AE186" s="20"/>
      <c r="AF186" s="11"/>
      <c r="AG186" s="11"/>
    </row>
    <row r="187" customFormat="false" ht="15" hidden="false" customHeight="false" outlineLevel="0" collapsed="false">
      <c r="A187" s="11"/>
      <c r="B187" s="11"/>
      <c r="C187" s="20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20"/>
      <c r="W187" s="20"/>
      <c r="X187" s="20"/>
      <c r="Y187" s="11"/>
      <c r="Z187" s="21"/>
      <c r="AA187" s="22" t="str">
        <f aca="false">IFERROR(INDEX(Lists!$F$2:$F$15,MATCH(Y187,Lists!$E$2:$E$15,0)),"")</f>
        <v/>
      </c>
      <c r="AB187" s="21" t="str">
        <f aca="false">IF(OR(Z187="",AA187=""),"",Z187*AA187)</f>
        <v/>
      </c>
      <c r="AC187" s="20"/>
      <c r="AD187" s="11"/>
      <c r="AE187" s="20"/>
      <c r="AF187" s="11"/>
      <c r="AG187" s="11"/>
    </row>
    <row r="188" customFormat="false" ht="15" hidden="false" customHeight="false" outlineLevel="0" collapsed="false">
      <c r="A188" s="11"/>
      <c r="B188" s="11"/>
      <c r="C188" s="20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20"/>
      <c r="W188" s="20"/>
      <c r="X188" s="20"/>
      <c r="Y188" s="11"/>
      <c r="Z188" s="21"/>
      <c r="AA188" s="22" t="str">
        <f aca="false">IFERROR(INDEX(Lists!$F$2:$F$15,MATCH(Y188,Lists!$E$2:$E$15,0)),"")</f>
        <v/>
      </c>
      <c r="AB188" s="21" t="str">
        <f aca="false">IF(OR(Z188="",AA188=""),"",Z188*AA188)</f>
        <v/>
      </c>
      <c r="AC188" s="20"/>
      <c r="AD188" s="11"/>
      <c r="AE188" s="20"/>
      <c r="AF188" s="11"/>
      <c r="AG188" s="11"/>
    </row>
    <row r="189" customFormat="false" ht="15" hidden="false" customHeight="false" outlineLevel="0" collapsed="false">
      <c r="A189" s="11"/>
      <c r="B189" s="11"/>
      <c r="C189" s="20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20"/>
      <c r="W189" s="20"/>
      <c r="X189" s="20"/>
      <c r="Y189" s="11"/>
      <c r="Z189" s="21"/>
      <c r="AA189" s="22" t="str">
        <f aca="false">IFERROR(INDEX(Lists!$F$2:$F$15,MATCH(Y189,Lists!$E$2:$E$15,0)),"")</f>
        <v/>
      </c>
      <c r="AB189" s="21" t="str">
        <f aca="false">IF(OR(Z189="",AA189=""),"",Z189*AA189)</f>
        <v/>
      </c>
      <c r="AC189" s="20"/>
      <c r="AD189" s="11"/>
      <c r="AE189" s="20"/>
      <c r="AF189" s="11"/>
      <c r="AG189" s="11"/>
    </row>
    <row r="190" customFormat="false" ht="15" hidden="false" customHeight="false" outlineLevel="0" collapsed="false">
      <c r="A190" s="11"/>
      <c r="B190" s="11"/>
      <c r="C190" s="20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20"/>
      <c r="W190" s="20"/>
      <c r="X190" s="20"/>
      <c r="Y190" s="11"/>
      <c r="Z190" s="21"/>
      <c r="AA190" s="22" t="str">
        <f aca="false">IFERROR(INDEX(Lists!$F$2:$F$15,MATCH(Y190,Lists!$E$2:$E$15,0)),"")</f>
        <v/>
      </c>
      <c r="AB190" s="21" t="str">
        <f aca="false">IF(OR(Z190="",AA190=""),"",Z190*AA190)</f>
        <v/>
      </c>
      <c r="AC190" s="20"/>
      <c r="AD190" s="11"/>
      <c r="AE190" s="20"/>
      <c r="AF190" s="11"/>
      <c r="AG190" s="11"/>
    </row>
    <row r="191" customFormat="false" ht="15" hidden="false" customHeight="false" outlineLevel="0" collapsed="false">
      <c r="A191" s="11"/>
      <c r="B191" s="11"/>
      <c r="C191" s="20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20"/>
      <c r="W191" s="20"/>
      <c r="X191" s="20"/>
      <c r="Y191" s="11"/>
      <c r="Z191" s="21"/>
      <c r="AA191" s="22" t="str">
        <f aca="false">IFERROR(INDEX(Lists!$F$2:$F$15,MATCH(Y191,Lists!$E$2:$E$15,0)),"")</f>
        <v/>
      </c>
      <c r="AB191" s="21" t="str">
        <f aca="false">IF(OR(Z191="",AA191=""),"",Z191*AA191)</f>
        <v/>
      </c>
      <c r="AC191" s="20"/>
      <c r="AD191" s="11"/>
      <c r="AE191" s="20"/>
      <c r="AF191" s="11"/>
      <c r="AG191" s="11"/>
    </row>
    <row r="192" customFormat="false" ht="15" hidden="false" customHeight="false" outlineLevel="0" collapsed="false">
      <c r="A192" s="11"/>
      <c r="B192" s="11"/>
      <c r="C192" s="20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20"/>
      <c r="W192" s="20"/>
      <c r="X192" s="20"/>
      <c r="Y192" s="11"/>
      <c r="Z192" s="21"/>
      <c r="AA192" s="22" t="str">
        <f aca="false">IFERROR(INDEX(Lists!$F$2:$F$15,MATCH(Y192,Lists!$E$2:$E$15,0)),"")</f>
        <v/>
      </c>
      <c r="AB192" s="21" t="str">
        <f aca="false">IF(OR(Z192="",AA192=""),"",Z192*AA192)</f>
        <v/>
      </c>
      <c r="AC192" s="20"/>
      <c r="AD192" s="11"/>
      <c r="AE192" s="20"/>
      <c r="AF192" s="11"/>
      <c r="AG192" s="11"/>
    </row>
    <row r="193" customFormat="false" ht="15" hidden="false" customHeight="false" outlineLevel="0" collapsed="false">
      <c r="A193" s="11"/>
      <c r="B193" s="11"/>
      <c r="C193" s="20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20"/>
      <c r="W193" s="20"/>
      <c r="X193" s="20"/>
      <c r="Y193" s="11"/>
      <c r="Z193" s="21"/>
      <c r="AA193" s="22" t="str">
        <f aca="false">IFERROR(INDEX(Lists!$F$2:$F$15,MATCH(Y193,Lists!$E$2:$E$15,0)),"")</f>
        <v/>
      </c>
      <c r="AB193" s="21" t="str">
        <f aca="false">IF(OR(Z193="",AA193=""),"",Z193*AA193)</f>
        <v/>
      </c>
      <c r="AC193" s="20"/>
      <c r="AD193" s="11"/>
      <c r="AE193" s="20"/>
      <c r="AF193" s="11"/>
      <c r="AG193" s="11"/>
    </row>
    <row r="194" customFormat="false" ht="15" hidden="false" customHeight="false" outlineLevel="0" collapsed="false">
      <c r="A194" s="11"/>
      <c r="B194" s="11"/>
      <c r="C194" s="20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20"/>
      <c r="W194" s="20"/>
      <c r="X194" s="20"/>
      <c r="Y194" s="11"/>
      <c r="Z194" s="21"/>
      <c r="AA194" s="22" t="str">
        <f aca="false">IFERROR(INDEX(Lists!$F$2:$F$15,MATCH(Y194,Lists!$E$2:$E$15,0)),"")</f>
        <v/>
      </c>
      <c r="AB194" s="21" t="str">
        <f aca="false">IF(OR(Z194="",AA194=""),"",Z194*AA194)</f>
        <v/>
      </c>
      <c r="AC194" s="20"/>
      <c r="AD194" s="11"/>
      <c r="AE194" s="20"/>
      <c r="AF194" s="11"/>
      <c r="AG194" s="11"/>
    </row>
    <row r="195" customFormat="false" ht="15" hidden="false" customHeight="false" outlineLevel="0" collapsed="false">
      <c r="A195" s="11"/>
      <c r="B195" s="11"/>
      <c r="C195" s="20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20"/>
      <c r="W195" s="20"/>
      <c r="X195" s="20"/>
      <c r="Y195" s="11"/>
      <c r="Z195" s="21"/>
      <c r="AA195" s="22" t="str">
        <f aca="false">IFERROR(INDEX(Lists!$F$2:$F$15,MATCH(Y195,Lists!$E$2:$E$15,0)),"")</f>
        <v/>
      </c>
      <c r="AB195" s="21" t="str">
        <f aca="false">IF(OR(Z195="",AA195=""),"",Z195*AA195)</f>
        <v/>
      </c>
      <c r="AC195" s="20"/>
      <c r="AD195" s="11"/>
      <c r="AE195" s="20"/>
      <c r="AF195" s="11"/>
      <c r="AG195" s="11"/>
    </row>
    <row r="196" customFormat="false" ht="15" hidden="false" customHeight="false" outlineLevel="0" collapsed="false">
      <c r="A196" s="11"/>
      <c r="B196" s="11"/>
      <c r="C196" s="20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20"/>
      <c r="W196" s="20"/>
      <c r="X196" s="20"/>
      <c r="Y196" s="11"/>
      <c r="Z196" s="21"/>
      <c r="AA196" s="22" t="str">
        <f aca="false">IFERROR(INDEX(Lists!$F$2:$F$15,MATCH(Y196,Lists!$E$2:$E$15,0)),"")</f>
        <v/>
      </c>
      <c r="AB196" s="21" t="str">
        <f aca="false">IF(OR(Z196="",AA196=""),"",Z196*AA196)</f>
        <v/>
      </c>
      <c r="AC196" s="20"/>
      <c r="AD196" s="11"/>
      <c r="AE196" s="20"/>
      <c r="AF196" s="11"/>
      <c r="AG196" s="11"/>
    </row>
    <row r="197" customFormat="false" ht="15" hidden="false" customHeight="false" outlineLevel="0" collapsed="false">
      <c r="A197" s="11"/>
      <c r="B197" s="11"/>
      <c r="C197" s="20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20"/>
      <c r="W197" s="20"/>
      <c r="X197" s="20"/>
      <c r="Y197" s="11"/>
      <c r="Z197" s="21"/>
      <c r="AA197" s="22" t="str">
        <f aca="false">IFERROR(INDEX(Lists!$F$2:$F$15,MATCH(Y197,Lists!$E$2:$E$15,0)),"")</f>
        <v/>
      </c>
      <c r="AB197" s="21" t="str">
        <f aca="false">IF(OR(Z197="",AA197=""),"",Z197*AA197)</f>
        <v/>
      </c>
      <c r="AC197" s="20"/>
      <c r="AD197" s="11"/>
      <c r="AE197" s="20"/>
      <c r="AF197" s="11"/>
      <c r="AG197" s="11"/>
    </row>
    <row r="198" customFormat="false" ht="15" hidden="false" customHeight="false" outlineLevel="0" collapsed="false">
      <c r="A198" s="11"/>
      <c r="B198" s="11"/>
      <c r="C198" s="20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20"/>
      <c r="W198" s="20"/>
      <c r="X198" s="20"/>
      <c r="Y198" s="11"/>
      <c r="Z198" s="21"/>
      <c r="AA198" s="22" t="str">
        <f aca="false">IFERROR(INDEX(Lists!$F$2:$F$15,MATCH(Y198,Lists!$E$2:$E$15,0)),"")</f>
        <v/>
      </c>
      <c r="AB198" s="21" t="str">
        <f aca="false">IF(OR(Z198="",AA198=""),"",Z198*AA198)</f>
        <v/>
      </c>
      <c r="AC198" s="20"/>
      <c r="AD198" s="11"/>
      <c r="AE198" s="20"/>
      <c r="AF198" s="11"/>
      <c r="AG198" s="11"/>
    </row>
    <row r="199" customFormat="false" ht="15" hidden="false" customHeight="false" outlineLevel="0" collapsed="false">
      <c r="A199" s="11"/>
      <c r="B199" s="11"/>
      <c r="C199" s="20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20"/>
      <c r="W199" s="20"/>
      <c r="X199" s="20"/>
      <c r="Y199" s="11"/>
      <c r="Z199" s="21"/>
      <c r="AA199" s="22" t="str">
        <f aca="false">IFERROR(INDEX(Lists!$F$2:$F$15,MATCH(Y199,Lists!$E$2:$E$15,0)),"")</f>
        <v/>
      </c>
      <c r="AB199" s="21" t="str">
        <f aca="false">IF(OR(Z199="",AA199=""),"",Z199*AA199)</f>
        <v/>
      </c>
      <c r="AC199" s="20"/>
      <c r="AD199" s="11"/>
      <c r="AE199" s="20"/>
      <c r="AF199" s="11"/>
      <c r="AG199" s="11"/>
    </row>
    <row r="200" customFormat="false" ht="15" hidden="false" customHeight="false" outlineLevel="0" collapsed="false">
      <c r="A200" s="11"/>
      <c r="B200" s="11"/>
      <c r="C200" s="20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20"/>
      <c r="W200" s="20"/>
      <c r="X200" s="20"/>
      <c r="Y200" s="11"/>
      <c r="Z200" s="21"/>
      <c r="AA200" s="22" t="str">
        <f aca="false">IFERROR(INDEX(Lists!$F$2:$F$15,MATCH(Y200,Lists!$E$2:$E$15,0)),"")</f>
        <v/>
      </c>
      <c r="AB200" s="21" t="str">
        <f aca="false">IF(OR(Z200="",AA200=""),"",Z200*AA200)</f>
        <v/>
      </c>
      <c r="AC200" s="20"/>
      <c r="AD200" s="11"/>
      <c r="AE200" s="20"/>
      <c r="AF200" s="11"/>
      <c r="AG200" s="11"/>
    </row>
    <row r="201" customFormat="false" ht="15" hidden="false" customHeight="false" outlineLevel="0" collapsed="false">
      <c r="A201" s="11"/>
      <c r="B201" s="11"/>
      <c r="C201" s="20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20"/>
      <c r="W201" s="20"/>
      <c r="X201" s="20"/>
      <c r="Y201" s="11"/>
      <c r="Z201" s="21"/>
      <c r="AA201" s="22" t="str">
        <f aca="false">IFERROR(INDEX(Lists!$F$2:$F$15,MATCH(Y201,Lists!$E$2:$E$15,0)),"")</f>
        <v/>
      </c>
      <c r="AB201" s="21" t="str">
        <f aca="false">IF(OR(Z201="",AA201=""),"",Z201*AA201)</f>
        <v/>
      </c>
      <c r="AC201" s="20"/>
      <c r="AD201" s="11"/>
      <c r="AE201" s="20"/>
      <c r="AF201" s="11"/>
      <c r="AG201" s="11"/>
    </row>
  </sheetData>
  <autoFilter ref="A1:AG201"/>
  <conditionalFormatting sqref="Y2:Y201">
    <cfRule type="cellIs" priority="2" operator="equal" aboveAverage="0" equalAverage="0" bottom="0" percent="0" rank="0" text="" dxfId="6">
      <formula>"Won"</formula>
    </cfRule>
    <cfRule type="cellIs" priority="3" operator="equal" aboveAverage="0" equalAverage="0" bottom="0" percent="0" rank="0" text="" dxfId="7">
      <formula>"Lost"</formula>
    </cfRule>
    <cfRule type="cellIs" priority="4" operator="equal" aboveAverage="0" equalAverage="0" bottom="0" percent="0" rank="0" text="" dxfId="8">
      <formula>"Proposal Sent"</formula>
    </cfRule>
  </conditionalFormatting>
  <conditionalFormatting sqref="B2:B201">
    <cfRule type="expression" priority="5" aboveAverage="0" equalAverage="0" bottom="0" percent="0" rank="0" text="" dxfId="9">
      <formula>B2="Web Development"</formula>
    </cfRule>
    <cfRule type="expression" priority="6" aboveAverage="0" equalAverage="0" bottom="0" percent="0" rank="0" text="" dxfId="10">
      <formula>B2="Cinematic Videos"</formula>
    </cfRule>
  </conditionalFormatting>
  <conditionalFormatting sqref="X2:X201">
    <cfRule type="expression" priority="7" aboveAverage="0" equalAverage="0" bottom="0" percent="0" rank="0" text="" dxfId="7">
      <formula>AND(X2&lt;&gt;"",X2&lt;=TODAY())</formula>
    </cfRule>
  </conditionalFormatting>
  <conditionalFormatting sqref="AE2:AE201">
    <cfRule type="expression" priority="8" aboveAverage="0" equalAverage="0" bottom="0" percent="0" rank="0" text="" dxfId="7">
      <formula>AND(AE2&lt;&gt;"",AE2&lt;=TODAY())</formula>
    </cfRule>
  </conditionalFormatting>
  <dataValidations count="5">
    <dataValidation allowBlank="true" errorStyle="stop" operator="between" showDropDown="false" showErrorMessage="false" showInputMessage="false" sqref="B2:B201" type="list">
      <formula1>VentureList</formula1>
      <formula2>0</formula2>
    </dataValidation>
    <dataValidation allowBlank="true" errorStyle="stop" operator="between" showDropDown="false" showErrorMessage="false" showInputMessage="false" sqref="S2:S201" type="list">
      <formula1>LeadTierList</formula1>
      <formula2>0</formula2>
    </dataValidation>
    <dataValidation allowBlank="true" errorStyle="stop" operator="between" showDropDown="false" showErrorMessage="false" showInputMessage="false" sqref="T2:T201" type="list">
      <formula1>PreviewTypeList</formula1>
      <formula2>0</formula2>
    </dataValidation>
    <dataValidation allowBlank="true" errorStyle="stop" operator="between" showDropDown="false" showErrorMessage="false" showInputMessage="false" sqref="U2:U201" type="list">
      <formula1>PreviewStatusList</formula1>
      <formula2>0</formula2>
    </dataValidation>
    <dataValidation allowBlank="true" errorStyle="stop" operator="between" showDropDown="false" showErrorMessage="false" showInputMessage="false" sqref="Y2:Y201" type="list">
      <formula1>PipelineStageList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L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24"/>
    <col collapsed="false" customWidth="true" hidden="false" outlineLevel="0" max="7" min="6" style="0" width="16"/>
    <col collapsed="false" customWidth="true" hidden="false" outlineLevel="0" max="8" min="8" style="0" width="32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1" min="11" style="0" width="16"/>
    <col collapsed="false" customWidth="true" hidden="false" outlineLevel="0" max="12" min="12" style="0" width="14"/>
  </cols>
  <sheetData>
    <row r="1" customFormat="false" ht="31.5" hidden="false" customHeight="true" outlineLevel="0" collapsed="false">
      <c r="A1" s="19" t="s">
        <v>140</v>
      </c>
      <c r="B1" s="19" t="s">
        <v>141</v>
      </c>
      <c r="C1" s="19" t="s">
        <v>67</v>
      </c>
      <c r="D1" s="19" t="s">
        <v>68</v>
      </c>
      <c r="E1" s="19" t="s">
        <v>70</v>
      </c>
      <c r="F1" s="19" t="s">
        <v>75</v>
      </c>
      <c r="G1" s="19" t="s">
        <v>142</v>
      </c>
      <c r="H1" s="19" t="s">
        <v>99</v>
      </c>
      <c r="I1" s="19" t="s">
        <v>143</v>
      </c>
      <c r="J1" s="19" t="s">
        <v>96</v>
      </c>
      <c r="K1" s="19" t="s">
        <v>97</v>
      </c>
      <c r="L1" s="19" t="s">
        <v>144</v>
      </c>
    </row>
    <row r="2" customFormat="false" ht="15" hidden="false" customHeight="false" outlineLevel="0" collapsed="false">
      <c r="A2" s="11" t="s">
        <v>145</v>
      </c>
      <c r="B2" s="20" t="n">
        <v>46291</v>
      </c>
      <c r="C2" s="11" t="s">
        <v>100</v>
      </c>
      <c r="D2" s="11" t="str">
        <f aca="false">IFERROR(INDEX('Master Leads'!$B$2:$B$201,MATCH(C2,'Master Leads'!$A$2:$A$201,0)),"")</f>
        <v>Web Development</v>
      </c>
      <c r="E2" s="11" t="str">
        <f aca="false">IFERROR(INDEX('Master Leads'!$D$2:$D$201,MATCH(C2,'Master Leads'!$A$2:$A$201,0)),"")</f>
        <v>Example: Riverside Family Dental</v>
      </c>
      <c r="F2" s="11" t="s">
        <v>106</v>
      </c>
      <c r="G2" s="11" t="s">
        <v>118</v>
      </c>
      <c r="H2" s="11" t="s">
        <v>146</v>
      </c>
      <c r="I2" s="11" t="s">
        <v>147</v>
      </c>
      <c r="J2" s="11" t="s">
        <v>148</v>
      </c>
      <c r="K2" s="20" t="n">
        <v>46294</v>
      </c>
      <c r="L2" s="11" t="s">
        <v>149</v>
      </c>
    </row>
    <row r="3" customFormat="false" ht="15" hidden="false" customHeight="false" outlineLevel="0" collapsed="false">
      <c r="A3" s="11" t="s">
        <v>150</v>
      </c>
      <c r="B3" s="20" t="n">
        <v>46267</v>
      </c>
      <c r="C3" s="11" t="s">
        <v>121</v>
      </c>
      <c r="D3" s="11" t="str">
        <f aca="false">IFERROR(INDEX('Master Leads'!$B$2:$B$201,MATCH(C3,'Master Leads'!$A$2:$A$201,0)),"")</f>
        <v>Cinematic Videos</v>
      </c>
      <c r="E3" s="11" t="str">
        <f aca="false">IFERROR(INDEX('Master Leads'!$D$2:$D$201,MATCH(C3,'Master Leads'!$A$2:$A$201,0)),"")</f>
        <v>Example: Bluestone Realty Group</v>
      </c>
      <c r="F3" s="11" t="s">
        <v>127</v>
      </c>
      <c r="G3" s="11" t="s">
        <v>151</v>
      </c>
      <c r="H3" s="11" t="s">
        <v>152</v>
      </c>
      <c r="I3" s="11" t="s">
        <v>153</v>
      </c>
      <c r="J3" s="11" t="s">
        <v>154</v>
      </c>
      <c r="K3" s="20" t="n">
        <v>46270</v>
      </c>
      <c r="L3" s="11" t="s">
        <v>149</v>
      </c>
    </row>
    <row r="4" customFormat="false" ht="15" hidden="false" customHeight="false" outlineLevel="0" collapsed="false">
      <c r="A4" s="11"/>
      <c r="B4" s="20"/>
      <c r="C4" s="11"/>
      <c r="D4" s="11" t="str">
        <f aca="false">IFERROR(INDEX('Master Leads'!$B$2:$B$201,MATCH(C4,'Master Leads'!$A$2:$A$201,0)),"")</f>
        <v/>
      </c>
      <c r="E4" s="11" t="str">
        <f aca="false">IFERROR(INDEX('Master Leads'!$D$2:$D$201,MATCH(C4,'Master Leads'!$A$2:$A$201,0)),"")</f>
        <v/>
      </c>
      <c r="F4" s="11"/>
      <c r="G4" s="11"/>
      <c r="H4" s="11"/>
      <c r="I4" s="11"/>
      <c r="J4" s="11"/>
      <c r="K4" s="20"/>
      <c r="L4" s="11"/>
    </row>
    <row r="5" customFormat="false" ht="15" hidden="false" customHeight="false" outlineLevel="0" collapsed="false">
      <c r="A5" s="11"/>
      <c r="B5" s="20"/>
      <c r="C5" s="11"/>
      <c r="D5" s="11" t="str">
        <f aca="false">IFERROR(INDEX('Master Leads'!$B$2:$B$201,MATCH(C5,'Master Leads'!$A$2:$A$201,0)),"")</f>
        <v/>
      </c>
      <c r="E5" s="11" t="str">
        <f aca="false">IFERROR(INDEX('Master Leads'!$D$2:$D$201,MATCH(C5,'Master Leads'!$A$2:$A$201,0)),"")</f>
        <v/>
      </c>
      <c r="F5" s="11"/>
      <c r="G5" s="11"/>
      <c r="H5" s="11"/>
      <c r="I5" s="11"/>
      <c r="J5" s="11"/>
      <c r="K5" s="20"/>
      <c r="L5" s="11"/>
    </row>
    <row r="6" customFormat="false" ht="15" hidden="false" customHeight="false" outlineLevel="0" collapsed="false">
      <c r="A6" s="11"/>
      <c r="B6" s="20"/>
      <c r="C6" s="11"/>
      <c r="D6" s="11" t="str">
        <f aca="false">IFERROR(INDEX('Master Leads'!$B$2:$B$201,MATCH(C6,'Master Leads'!$A$2:$A$201,0)),"")</f>
        <v/>
      </c>
      <c r="E6" s="11" t="str">
        <f aca="false">IFERROR(INDEX('Master Leads'!$D$2:$D$201,MATCH(C6,'Master Leads'!$A$2:$A$201,0)),"")</f>
        <v/>
      </c>
      <c r="F6" s="11"/>
      <c r="G6" s="11"/>
      <c r="H6" s="11"/>
      <c r="I6" s="11"/>
      <c r="J6" s="11"/>
      <c r="K6" s="20"/>
      <c r="L6" s="11"/>
    </row>
    <row r="7" customFormat="false" ht="15" hidden="false" customHeight="false" outlineLevel="0" collapsed="false">
      <c r="A7" s="11"/>
      <c r="B7" s="20"/>
      <c r="C7" s="11"/>
      <c r="D7" s="11" t="str">
        <f aca="false">IFERROR(INDEX('Master Leads'!$B$2:$B$201,MATCH(C7,'Master Leads'!$A$2:$A$201,0)),"")</f>
        <v/>
      </c>
      <c r="E7" s="11" t="str">
        <f aca="false">IFERROR(INDEX('Master Leads'!$D$2:$D$201,MATCH(C7,'Master Leads'!$A$2:$A$201,0)),"")</f>
        <v/>
      </c>
      <c r="F7" s="11"/>
      <c r="G7" s="11"/>
      <c r="H7" s="11"/>
      <c r="I7" s="11"/>
      <c r="J7" s="11"/>
      <c r="K7" s="20"/>
      <c r="L7" s="11"/>
    </row>
    <row r="8" customFormat="false" ht="15" hidden="false" customHeight="false" outlineLevel="0" collapsed="false">
      <c r="A8" s="11"/>
      <c r="B8" s="20"/>
      <c r="C8" s="11"/>
      <c r="D8" s="11" t="str">
        <f aca="false">IFERROR(INDEX('Master Leads'!$B$2:$B$201,MATCH(C8,'Master Leads'!$A$2:$A$201,0)),"")</f>
        <v/>
      </c>
      <c r="E8" s="11" t="str">
        <f aca="false">IFERROR(INDEX('Master Leads'!$D$2:$D$201,MATCH(C8,'Master Leads'!$A$2:$A$201,0)),"")</f>
        <v/>
      </c>
      <c r="F8" s="11"/>
      <c r="G8" s="11"/>
      <c r="H8" s="11"/>
      <c r="I8" s="11"/>
      <c r="J8" s="11"/>
      <c r="K8" s="20"/>
      <c r="L8" s="11"/>
    </row>
    <row r="9" customFormat="false" ht="15" hidden="false" customHeight="false" outlineLevel="0" collapsed="false">
      <c r="A9" s="11"/>
      <c r="B9" s="20"/>
      <c r="C9" s="11"/>
      <c r="D9" s="11" t="str">
        <f aca="false">IFERROR(INDEX('Master Leads'!$B$2:$B$201,MATCH(C9,'Master Leads'!$A$2:$A$201,0)),"")</f>
        <v/>
      </c>
      <c r="E9" s="11" t="str">
        <f aca="false">IFERROR(INDEX('Master Leads'!$D$2:$D$201,MATCH(C9,'Master Leads'!$A$2:$A$201,0)),"")</f>
        <v/>
      </c>
      <c r="F9" s="11"/>
      <c r="G9" s="11"/>
      <c r="H9" s="11"/>
      <c r="I9" s="11"/>
      <c r="J9" s="11"/>
      <c r="K9" s="20"/>
      <c r="L9" s="11"/>
    </row>
    <row r="10" customFormat="false" ht="15" hidden="false" customHeight="false" outlineLevel="0" collapsed="false">
      <c r="A10" s="11"/>
      <c r="B10" s="20"/>
      <c r="C10" s="11"/>
      <c r="D10" s="11" t="str">
        <f aca="false">IFERROR(INDEX('Master Leads'!$B$2:$B$201,MATCH(C10,'Master Leads'!$A$2:$A$201,0)),"")</f>
        <v/>
      </c>
      <c r="E10" s="11" t="str">
        <f aca="false">IFERROR(INDEX('Master Leads'!$D$2:$D$201,MATCH(C10,'Master Leads'!$A$2:$A$201,0)),"")</f>
        <v/>
      </c>
      <c r="F10" s="11"/>
      <c r="G10" s="11"/>
      <c r="H10" s="11"/>
      <c r="I10" s="11"/>
      <c r="J10" s="11"/>
      <c r="K10" s="20"/>
      <c r="L10" s="11"/>
    </row>
    <row r="11" customFormat="false" ht="15" hidden="false" customHeight="false" outlineLevel="0" collapsed="false">
      <c r="A11" s="11"/>
      <c r="B11" s="20"/>
      <c r="C11" s="11"/>
      <c r="D11" s="11" t="str">
        <f aca="false">IFERROR(INDEX('Master Leads'!$B$2:$B$201,MATCH(C11,'Master Leads'!$A$2:$A$201,0)),"")</f>
        <v/>
      </c>
      <c r="E11" s="11" t="str">
        <f aca="false">IFERROR(INDEX('Master Leads'!$D$2:$D$201,MATCH(C11,'Master Leads'!$A$2:$A$201,0)),"")</f>
        <v/>
      </c>
      <c r="F11" s="11"/>
      <c r="G11" s="11"/>
      <c r="H11" s="11"/>
      <c r="I11" s="11"/>
      <c r="J11" s="11"/>
      <c r="K11" s="20"/>
      <c r="L11" s="11"/>
    </row>
    <row r="12" customFormat="false" ht="15" hidden="false" customHeight="false" outlineLevel="0" collapsed="false">
      <c r="A12" s="11"/>
      <c r="B12" s="20"/>
      <c r="C12" s="11"/>
      <c r="D12" s="11" t="str">
        <f aca="false">IFERROR(INDEX('Master Leads'!$B$2:$B$201,MATCH(C12,'Master Leads'!$A$2:$A$201,0)),"")</f>
        <v/>
      </c>
      <c r="E12" s="11" t="str">
        <f aca="false">IFERROR(INDEX('Master Leads'!$D$2:$D$201,MATCH(C12,'Master Leads'!$A$2:$A$201,0)),"")</f>
        <v/>
      </c>
      <c r="F12" s="11"/>
      <c r="G12" s="11"/>
      <c r="H12" s="11"/>
      <c r="I12" s="11"/>
      <c r="J12" s="11"/>
      <c r="K12" s="20"/>
      <c r="L12" s="11"/>
    </row>
    <row r="13" customFormat="false" ht="15" hidden="false" customHeight="false" outlineLevel="0" collapsed="false">
      <c r="A13" s="11"/>
      <c r="B13" s="20"/>
      <c r="C13" s="11"/>
      <c r="D13" s="11" t="str">
        <f aca="false">IFERROR(INDEX('Master Leads'!$B$2:$B$201,MATCH(C13,'Master Leads'!$A$2:$A$201,0)),"")</f>
        <v/>
      </c>
      <c r="E13" s="11" t="str">
        <f aca="false">IFERROR(INDEX('Master Leads'!$D$2:$D$201,MATCH(C13,'Master Leads'!$A$2:$A$201,0)),"")</f>
        <v/>
      </c>
      <c r="F13" s="11"/>
      <c r="G13" s="11"/>
      <c r="H13" s="11"/>
      <c r="I13" s="11"/>
      <c r="J13" s="11"/>
      <c r="K13" s="20"/>
      <c r="L13" s="11"/>
    </row>
    <row r="14" customFormat="false" ht="15" hidden="false" customHeight="false" outlineLevel="0" collapsed="false">
      <c r="A14" s="11"/>
      <c r="B14" s="20"/>
      <c r="C14" s="11"/>
      <c r="D14" s="11" t="str">
        <f aca="false">IFERROR(INDEX('Master Leads'!$B$2:$B$201,MATCH(C14,'Master Leads'!$A$2:$A$201,0)),"")</f>
        <v/>
      </c>
      <c r="E14" s="11" t="str">
        <f aca="false">IFERROR(INDEX('Master Leads'!$D$2:$D$201,MATCH(C14,'Master Leads'!$A$2:$A$201,0)),"")</f>
        <v/>
      </c>
      <c r="F14" s="11"/>
      <c r="G14" s="11"/>
      <c r="H14" s="11"/>
      <c r="I14" s="11"/>
      <c r="J14" s="11"/>
      <c r="K14" s="20"/>
      <c r="L14" s="11"/>
    </row>
    <row r="15" customFormat="false" ht="15" hidden="false" customHeight="false" outlineLevel="0" collapsed="false">
      <c r="A15" s="11"/>
      <c r="B15" s="20"/>
      <c r="C15" s="11"/>
      <c r="D15" s="11" t="str">
        <f aca="false">IFERROR(INDEX('Master Leads'!$B$2:$B$201,MATCH(C15,'Master Leads'!$A$2:$A$201,0)),"")</f>
        <v/>
      </c>
      <c r="E15" s="11" t="str">
        <f aca="false">IFERROR(INDEX('Master Leads'!$D$2:$D$201,MATCH(C15,'Master Leads'!$A$2:$A$201,0)),"")</f>
        <v/>
      </c>
      <c r="F15" s="11"/>
      <c r="G15" s="11"/>
      <c r="H15" s="11"/>
      <c r="I15" s="11"/>
      <c r="J15" s="11"/>
      <c r="K15" s="20"/>
      <c r="L15" s="11"/>
    </row>
    <row r="16" customFormat="false" ht="15" hidden="false" customHeight="false" outlineLevel="0" collapsed="false">
      <c r="A16" s="11"/>
      <c r="B16" s="20"/>
      <c r="C16" s="11"/>
      <c r="D16" s="11" t="str">
        <f aca="false">IFERROR(INDEX('Master Leads'!$B$2:$B$201,MATCH(C16,'Master Leads'!$A$2:$A$201,0)),"")</f>
        <v/>
      </c>
      <c r="E16" s="11" t="str">
        <f aca="false">IFERROR(INDEX('Master Leads'!$D$2:$D$201,MATCH(C16,'Master Leads'!$A$2:$A$201,0)),"")</f>
        <v/>
      </c>
      <c r="F16" s="11"/>
      <c r="G16" s="11"/>
      <c r="H16" s="11"/>
      <c r="I16" s="11"/>
      <c r="J16" s="11"/>
      <c r="K16" s="20"/>
      <c r="L16" s="11"/>
    </row>
    <row r="17" customFormat="false" ht="15" hidden="false" customHeight="false" outlineLevel="0" collapsed="false">
      <c r="A17" s="11"/>
      <c r="B17" s="20"/>
      <c r="C17" s="11"/>
      <c r="D17" s="11" t="str">
        <f aca="false">IFERROR(INDEX('Master Leads'!$B$2:$B$201,MATCH(C17,'Master Leads'!$A$2:$A$201,0)),"")</f>
        <v/>
      </c>
      <c r="E17" s="11" t="str">
        <f aca="false">IFERROR(INDEX('Master Leads'!$D$2:$D$201,MATCH(C17,'Master Leads'!$A$2:$A$201,0)),"")</f>
        <v/>
      </c>
      <c r="F17" s="11"/>
      <c r="G17" s="11"/>
      <c r="H17" s="11"/>
      <c r="I17" s="11"/>
      <c r="J17" s="11"/>
      <c r="K17" s="20"/>
      <c r="L17" s="11"/>
    </row>
    <row r="18" customFormat="false" ht="15" hidden="false" customHeight="false" outlineLevel="0" collapsed="false">
      <c r="A18" s="11"/>
      <c r="B18" s="20"/>
      <c r="C18" s="11"/>
      <c r="D18" s="11" t="str">
        <f aca="false">IFERROR(INDEX('Master Leads'!$B$2:$B$201,MATCH(C18,'Master Leads'!$A$2:$A$201,0)),"")</f>
        <v/>
      </c>
      <c r="E18" s="11" t="str">
        <f aca="false">IFERROR(INDEX('Master Leads'!$D$2:$D$201,MATCH(C18,'Master Leads'!$A$2:$A$201,0)),"")</f>
        <v/>
      </c>
      <c r="F18" s="11"/>
      <c r="G18" s="11"/>
      <c r="H18" s="11"/>
      <c r="I18" s="11"/>
      <c r="J18" s="11"/>
      <c r="K18" s="20"/>
      <c r="L18" s="11"/>
    </row>
    <row r="19" customFormat="false" ht="15" hidden="false" customHeight="false" outlineLevel="0" collapsed="false">
      <c r="A19" s="11"/>
      <c r="B19" s="20"/>
      <c r="C19" s="11"/>
      <c r="D19" s="11" t="str">
        <f aca="false">IFERROR(INDEX('Master Leads'!$B$2:$B$201,MATCH(C19,'Master Leads'!$A$2:$A$201,0)),"")</f>
        <v/>
      </c>
      <c r="E19" s="11" t="str">
        <f aca="false">IFERROR(INDEX('Master Leads'!$D$2:$D$201,MATCH(C19,'Master Leads'!$A$2:$A$201,0)),"")</f>
        <v/>
      </c>
      <c r="F19" s="11"/>
      <c r="G19" s="11"/>
      <c r="H19" s="11"/>
      <c r="I19" s="11"/>
      <c r="J19" s="11"/>
      <c r="K19" s="20"/>
      <c r="L19" s="11"/>
    </row>
    <row r="20" customFormat="false" ht="15" hidden="false" customHeight="false" outlineLevel="0" collapsed="false">
      <c r="A20" s="11"/>
      <c r="B20" s="20"/>
      <c r="C20" s="11"/>
      <c r="D20" s="11" t="str">
        <f aca="false">IFERROR(INDEX('Master Leads'!$B$2:$B$201,MATCH(C20,'Master Leads'!$A$2:$A$201,0)),"")</f>
        <v/>
      </c>
      <c r="E20" s="11" t="str">
        <f aca="false">IFERROR(INDEX('Master Leads'!$D$2:$D$201,MATCH(C20,'Master Leads'!$A$2:$A$201,0)),"")</f>
        <v/>
      </c>
      <c r="F20" s="11"/>
      <c r="G20" s="11"/>
      <c r="H20" s="11"/>
      <c r="I20" s="11"/>
      <c r="J20" s="11"/>
      <c r="K20" s="20"/>
      <c r="L20" s="11"/>
    </row>
    <row r="21" customFormat="false" ht="15" hidden="false" customHeight="false" outlineLevel="0" collapsed="false">
      <c r="A21" s="11"/>
      <c r="B21" s="20"/>
      <c r="C21" s="11"/>
      <c r="D21" s="11" t="str">
        <f aca="false">IFERROR(INDEX('Master Leads'!$B$2:$B$201,MATCH(C21,'Master Leads'!$A$2:$A$201,0)),"")</f>
        <v/>
      </c>
      <c r="E21" s="11" t="str">
        <f aca="false">IFERROR(INDEX('Master Leads'!$D$2:$D$201,MATCH(C21,'Master Leads'!$A$2:$A$201,0)),"")</f>
        <v/>
      </c>
      <c r="F21" s="11"/>
      <c r="G21" s="11"/>
      <c r="H21" s="11"/>
      <c r="I21" s="11"/>
      <c r="J21" s="11"/>
      <c r="K21" s="20"/>
      <c r="L21" s="11"/>
    </row>
    <row r="22" customFormat="false" ht="15" hidden="false" customHeight="false" outlineLevel="0" collapsed="false">
      <c r="A22" s="11"/>
      <c r="B22" s="20"/>
      <c r="C22" s="11"/>
      <c r="D22" s="11" t="str">
        <f aca="false">IFERROR(INDEX('Master Leads'!$B$2:$B$201,MATCH(C22,'Master Leads'!$A$2:$A$201,0)),"")</f>
        <v/>
      </c>
      <c r="E22" s="11" t="str">
        <f aca="false">IFERROR(INDEX('Master Leads'!$D$2:$D$201,MATCH(C22,'Master Leads'!$A$2:$A$201,0)),"")</f>
        <v/>
      </c>
      <c r="F22" s="11"/>
      <c r="G22" s="11"/>
      <c r="H22" s="11"/>
      <c r="I22" s="11"/>
      <c r="J22" s="11"/>
      <c r="K22" s="20"/>
      <c r="L22" s="11"/>
    </row>
    <row r="23" customFormat="false" ht="15" hidden="false" customHeight="false" outlineLevel="0" collapsed="false">
      <c r="A23" s="11"/>
      <c r="B23" s="20"/>
      <c r="C23" s="11"/>
      <c r="D23" s="11" t="str">
        <f aca="false">IFERROR(INDEX('Master Leads'!$B$2:$B$201,MATCH(C23,'Master Leads'!$A$2:$A$201,0)),"")</f>
        <v/>
      </c>
      <c r="E23" s="11" t="str">
        <f aca="false">IFERROR(INDEX('Master Leads'!$D$2:$D$201,MATCH(C23,'Master Leads'!$A$2:$A$201,0)),"")</f>
        <v/>
      </c>
      <c r="F23" s="11"/>
      <c r="G23" s="11"/>
      <c r="H23" s="11"/>
      <c r="I23" s="11"/>
      <c r="J23" s="11"/>
      <c r="K23" s="20"/>
      <c r="L23" s="11"/>
    </row>
    <row r="24" customFormat="false" ht="15" hidden="false" customHeight="false" outlineLevel="0" collapsed="false">
      <c r="A24" s="11"/>
      <c r="B24" s="20"/>
      <c r="C24" s="11"/>
      <c r="D24" s="11" t="str">
        <f aca="false">IFERROR(INDEX('Master Leads'!$B$2:$B$201,MATCH(C24,'Master Leads'!$A$2:$A$201,0)),"")</f>
        <v/>
      </c>
      <c r="E24" s="11" t="str">
        <f aca="false">IFERROR(INDEX('Master Leads'!$D$2:$D$201,MATCH(C24,'Master Leads'!$A$2:$A$201,0)),"")</f>
        <v/>
      </c>
      <c r="F24" s="11"/>
      <c r="G24" s="11"/>
      <c r="H24" s="11"/>
      <c r="I24" s="11"/>
      <c r="J24" s="11"/>
      <c r="K24" s="20"/>
      <c r="L24" s="11"/>
    </row>
    <row r="25" customFormat="false" ht="15" hidden="false" customHeight="false" outlineLevel="0" collapsed="false">
      <c r="A25" s="11"/>
      <c r="B25" s="20"/>
      <c r="C25" s="11"/>
      <c r="D25" s="11" t="str">
        <f aca="false">IFERROR(INDEX('Master Leads'!$B$2:$B$201,MATCH(C25,'Master Leads'!$A$2:$A$201,0)),"")</f>
        <v/>
      </c>
      <c r="E25" s="11" t="str">
        <f aca="false">IFERROR(INDEX('Master Leads'!$D$2:$D$201,MATCH(C25,'Master Leads'!$A$2:$A$201,0)),"")</f>
        <v/>
      </c>
      <c r="F25" s="11"/>
      <c r="G25" s="11"/>
      <c r="H25" s="11"/>
      <c r="I25" s="11"/>
      <c r="J25" s="11"/>
      <c r="K25" s="20"/>
      <c r="L25" s="11"/>
    </row>
    <row r="26" customFormat="false" ht="15" hidden="false" customHeight="false" outlineLevel="0" collapsed="false">
      <c r="A26" s="11"/>
      <c r="B26" s="20"/>
      <c r="C26" s="11"/>
      <c r="D26" s="11" t="str">
        <f aca="false">IFERROR(INDEX('Master Leads'!$B$2:$B$201,MATCH(C26,'Master Leads'!$A$2:$A$201,0)),"")</f>
        <v/>
      </c>
      <c r="E26" s="11" t="str">
        <f aca="false">IFERROR(INDEX('Master Leads'!$D$2:$D$201,MATCH(C26,'Master Leads'!$A$2:$A$201,0)),"")</f>
        <v/>
      </c>
      <c r="F26" s="11"/>
      <c r="G26" s="11"/>
      <c r="H26" s="11"/>
      <c r="I26" s="11"/>
      <c r="J26" s="11"/>
      <c r="K26" s="20"/>
      <c r="L26" s="11"/>
    </row>
    <row r="27" customFormat="false" ht="15" hidden="false" customHeight="false" outlineLevel="0" collapsed="false">
      <c r="A27" s="11"/>
      <c r="B27" s="20"/>
      <c r="C27" s="11"/>
      <c r="D27" s="11" t="str">
        <f aca="false">IFERROR(INDEX('Master Leads'!$B$2:$B$201,MATCH(C27,'Master Leads'!$A$2:$A$201,0)),"")</f>
        <v/>
      </c>
      <c r="E27" s="11" t="str">
        <f aca="false">IFERROR(INDEX('Master Leads'!$D$2:$D$201,MATCH(C27,'Master Leads'!$A$2:$A$201,0)),"")</f>
        <v/>
      </c>
      <c r="F27" s="11"/>
      <c r="G27" s="11"/>
      <c r="H27" s="11"/>
      <c r="I27" s="11"/>
      <c r="J27" s="11"/>
      <c r="K27" s="20"/>
      <c r="L27" s="11"/>
    </row>
    <row r="28" customFormat="false" ht="15" hidden="false" customHeight="false" outlineLevel="0" collapsed="false">
      <c r="A28" s="11"/>
      <c r="B28" s="20"/>
      <c r="C28" s="11"/>
      <c r="D28" s="11" t="str">
        <f aca="false">IFERROR(INDEX('Master Leads'!$B$2:$B$201,MATCH(C28,'Master Leads'!$A$2:$A$201,0)),"")</f>
        <v/>
      </c>
      <c r="E28" s="11" t="str">
        <f aca="false">IFERROR(INDEX('Master Leads'!$D$2:$D$201,MATCH(C28,'Master Leads'!$A$2:$A$201,0)),"")</f>
        <v/>
      </c>
      <c r="F28" s="11"/>
      <c r="G28" s="11"/>
      <c r="H28" s="11"/>
      <c r="I28" s="11"/>
      <c r="J28" s="11"/>
      <c r="K28" s="20"/>
      <c r="L28" s="11"/>
    </row>
    <row r="29" customFormat="false" ht="15" hidden="false" customHeight="false" outlineLevel="0" collapsed="false">
      <c r="A29" s="11"/>
      <c r="B29" s="20"/>
      <c r="C29" s="11"/>
      <c r="D29" s="11" t="str">
        <f aca="false">IFERROR(INDEX('Master Leads'!$B$2:$B$201,MATCH(C29,'Master Leads'!$A$2:$A$201,0)),"")</f>
        <v/>
      </c>
      <c r="E29" s="11" t="str">
        <f aca="false">IFERROR(INDEX('Master Leads'!$D$2:$D$201,MATCH(C29,'Master Leads'!$A$2:$A$201,0)),"")</f>
        <v/>
      </c>
      <c r="F29" s="11"/>
      <c r="G29" s="11"/>
      <c r="H29" s="11"/>
      <c r="I29" s="11"/>
      <c r="J29" s="11"/>
      <c r="K29" s="20"/>
      <c r="L29" s="11"/>
    </row>
    <row r="30" customFormat="false" ht="15" hidden="false" customHeight="false" outlineLevel="0" collapsed="false">
      <c r="A30" s="11"/>
      <c r="B30" s="20"/>
      <c r="C30" s="11"/>
      <c r="D30" s="11" t="str">
        <f aca="false">IFERROR(INDEX('Master Leads'!$B$2:$B$201,MATCH(C30,'Master Leads'!$A$2:$A$201,0)),"")</f>
        <v/>
      </c>
      <c r="E30" s="11" t="str">
        <f aca="false">IFERROR(INDEX('Master Leads'!$D$2:$D$201,MATCH(C30,'Master Leads'!$A$2:$A$201,0)),"")</f>
        <v/>
      </c>
      <c r="F30" s="11"/>
      <c r="G30" s="11"/>
      <c r="H30" s="11"/>
      <c r="I30" s="11"/>
      <c r="J30" s="11"/>
      <c r="K30" s="20"/>
      <c r="L30" s="11"/>
    </row>
    <row r="31" customFormat="false" ht="15" hidden="false" customHeight="false" outlineLevel="0" collapsed="false">
      <c r="A31" s="11"/>
      <c r="B31" s="20"/>
      <c r="C31" s="11"/>
      <c r="D31" s="11" t="str">
        <f aca="false">IFERROR(INDEX('Master Leads'!$B$2:$B$201,MATCH(C31,'Master Leads'!$A$2:$A$201,0)),"")</f>
        <v/>
      </c>
      <c r="E31" s="11" t="str">
        <f aca="false">IFERROR(INDEX('Master Leads'!$D$2:$D$201,MATCH(C31,'Master Leads'!$A$2:$A$201,0)),"")</f>
        <v/>
      </c>
      <c r="F31" s="11"/>
      <c r="G31" s="11"/>
      <c r="H31" s="11"/>
      <c r="I31" s="11"/>
      <c r="J31" s="11"/>
      <c r="K31" s="20"/>
      <c r="L31" s="11"/>
    </row>
    <row r="32" customFormat="false" ht="15" hidden="false" customHeight="false" outlineLevel="0" collapsed="false">
      <c r="A32" s="11"/>
      <c r="B32" s="20"/>
      <c r="C32" s="11"/>
      <c r="D32" s="11" t="str">
        <f aca="false">IFERROR(INDEX('Master Leads'!$B$2:$B$201,MATCH(C32,'Master Leads'!$A$2:$A$201,0)),"")</f>
        <v/>
      </c>
      <c r="E32" s="11" t="str">
        <f aca="false">IFERROR(INDEX('Master Leads'!$D$2:$D$201,MATCH(C32,'Master Leads'!$A$2:$A$201,0)),"")</f>
        <v/>
      </c>
      <c r="F32" s="11"/>
      <c r="G32" s="11"/>
      <c r="H32" s="11"/>
      <c r="I32" s="11"/>
      <c r="J32" s="11"/>
      <c r="K32" s="20"/>
      <c r="L32" s="11"/>
    </row>
    <row r="33" customFormat="false" ht="15" hidden="false" customHeight="false" outlineLevel="0" collapsed="false">
      <c r="A33" s="11"/>
      <c r="B33" s="20"/>
      <c r="C33" s="11"/>
      <c r="D33" s="11" t="str">
        <f aca="false">IFERROR(INDEX('Master Leads'!$B$2:$B$201,MATCH(C33,'Master Leads'!$A$2:$A$201,0)),"")</f>
        <v/>
      </c>
      <c r="E33" s="11" t="str">
        <f aca="false">IFERROR(INDEX('Master Leads'!$D$2:$D$201,MATCH(C33,'Master Leads'!$A$2:$A$201,0)),"")</f>
        <v/>
      </c>
      <c r="F33" s="11"/>
      <c r="G33" s="11"/>
      <c r="H33" s="11"/>
      <c r="I33" s="11"/>
      <c r="J33" s="11"/>
      <c r="K33" s="20"/>
      <c r="L33" s="11"/>
    </row>
    <row r="34" customFormat="false" ht="15" hidden="false" customHeight="false" outlineLevel="0" collapsed="false">
      <c r="A34" s="11"/>
      <c r="B34" s="20"/>
      <c r="C34" s="11"/>
      <c r="D34" s="11" t="str">
        <f aca="false">IFERROR(INDEX('Master Leads'!$B$2:$B$201,MATCH(C34,'Master Leads'!$A$2:$A$201,0)),"")</f>
        <v/>
      </c>
      <c r="E34" s="11" t="str">
        <f aca="false">IFERROR(INDEX('Master Leads'!$D$2:$D$201,MATCH(C34,'Master Leads'!$A$2:$A$201,0)),"")</f>
        <v/>
      </c>
      <c r="F34" s="11"/>
      <c r="G34" s="11"/>
      <c r="H34" s="11"/>
      <c r="I34" s="11"/>
      <c r="J34" s="11"/>
      <c r="K34" s="20"/>
      <c r="L34" s="11"/>
    </row>
    <row r="35" customFormat="false" ht="15" hidden="false" customHeight="false" outlineLevel="0" collapsed="false">
      <c r="A35" s="11"/>
      <c r="B35" s="20"/>
      <c r="C35" s="11"/>
      <c r="D35" s="11" t="str">
        <f aca="false">IFERROR(INDEX('Master Leads'!$B$2:$B$201,MATCH(C35,'Master Leads'!$A$2:$A$201,0)),"")</f>
        <v/>
      </c>
      <c r="E35" s="11" t="str">
        <f aca="false">IFERROR(INDEX('Master Leads'!$D$2:$D$201,MATCH(C35,'Master Leads'!$A$2:$A$201,0)),"")</f>
        <v/>
      </c>
      <c r="F35" s="11"/>
      <c r="G35" s="11"/>
      <c r="H35" s="11"/>
      <c r="I35" s="11"/>
      <c r="J35" s="11"/>
      <c r="K35" s="20"/>
      <c r="L35" s="11"/>
    </row>
    <row r="36" customFormat="false" ht="15" hidden="false" customHeight="false" outlineLevel="0" collapsed="false">
      <c r="A36" s="11"/>
      <c r="B36" s="20"/>
      <c r="C36" s="11"/>
      <c r="D36" s="11" t="str">
        <f aca="false">IFERROR(INDEX('Master Leads'!$B$2:$B$201,MATCH(C36,'Master Leads'!$A$2:$A$201,0)),"")</f>
        <v/>
      </c>
      <c r="E36" s="11" t="str">
        <f aca="false">IFERROR(INDEX('Master Leads'!$D$2:$D$201,MATCH(C36,'Master Leads'!$A$2:$A$201,0)),"")</f>
        <v/>
      </c>
      <c r="F36" s="11"/>
      <c r="G36" s="11"/>
      <c r="H36" s="11"/>
      <c r="I36" s="11"/>
      <c r="J36" s="11"/>
      <c r="K36" s="20"/>
      <c r="L36" s="11"/>
    </row>
    <row r="37" customFormat="false" ht="15" hidden="false" customHeight="false" outlineLevel="0" collapsed="false">
      <c r="A37" s="11"/>
      <c r="B37" s="20"/>
      <c r="C37" s="11"/>
      <c r="D37" s="11" t="str">
        <f aca="false">IFERROR(INDEX('Master Leads'!$B$2:$B$201,MATCH(C37,'Master Leads'!$A$2:$A$201,0)),"")</f>
        <v/>
      </c>
      <c r="E37" s="11" t="str">
        <f aca="false">IFERROR(INDEX('Master Leads'!$D$2:$D$201,MATCH(C37,'Master Leads'!$A$2:$A$201,0)),"")</f>
        <v/>
      </c>
      <c r="F37" s="11"/>
      <c r="G37" s="11"/>
      <c r="H37" s="11"/>
      <c r="I37" s="11"/>
      <c r="J37" s="11"/>
      <c r="K37" s="20"/>
      <c r="L37" s="11"/>
    </row>
    <row r="38" customFormat="false" ht="15" hidden="false" customHeight="false" outlineLevel="0" collapsed="false">
      <c r="A38" s="11"/>
      <c r="B38" s="20"/>
      <c r="C38" s="11"/>
      <c r="D38" s="11" t="str">
        <f aca="false">IFERROR(INDEX('Master Leads'!$B$2:$B$201,MATCH(C38,'Master Leads'!$A$2:$A$201,0)),"")</f>
        <v/>
      </c>
      <c r="E38" s="11" t="str">
        <f aca="false">IFERROR(INDEX('Master Leads'!$D$2:$D$201,MATCH(C38,'Master Leads'!$A$2:$A$201,0)),"")</f>
        <v/>
      </c>
      <c r="F38" s="11"/>
      <c r="G38" s="11"/>
      <c r="H38" s="11"/>
      <c r="I38" s="11"/>
      <c r="J38" s="11"/>
      <c r="K38" s="20"/>
      <c r="L38" s="11"/>
    </row>
    <row r="39" customFormat="false" ht="15" hidden="false" customHeight="false" outlineLevel="0" collapsed="false">
      <c r="A39" s="11"/>
      <c r="B39" s="20"/>
      <c r="C39" s="11"/>
      <c r="D39" s="11" t="str">
        <f aca="false">IFERROR(INDEX('Master Leads'!$B$2:$B$201,MATCH(C39,'Master Leads'!$A$2:$A$201,0)),"")</f>
        <v/>
      </c>
      <c r="E39" s="11" t="str">
        <f aca="false">IFERROR(INDEX('Master Leads'!$D$2:$D$201,MATCH(C39,'Master Leads'!$A$2:$A$201,0)),"")</f>
        <v/>
      </c>
      <c r="F39" s="11"/>
      <c r="G39" s="11"/>
      <c r="H39" s="11"/>
      <c r="I39" s="11"/>
      <c r="J39" s="11"/>
      <c r="K39" s="20"/>
      <c r="L39" s="11"/>
    </row>
    <row r="40" customFormat="false" ht="15" hidden="false" customHeight="false" outlineLevel="0" collapsed="false">
      <c r="A40" s="11"/>
      <c r="B40" s="20"/>
      <c r="C40" s="11"/>
      <c r="D40" s="11" t="str">
        <f aca="false">IFERROR(INDEX('Master Leads'!$B$2:$B$201,MATCH(C40,'Master Leads'!$A$2:$A$201,0)),"")</f>
        <v/>
      </c>
      <c r="E40" s="11" t="str">
        <f aca="false">IFERROR(INDEX('Master Leads'!$D$2:$D$201,MATCH(C40,'Master Leads'!$A$2:$A$201,0)),"")</f>
        <v/>
      </c>
      <c r="F40" s="11"/>
      <c r="G40" s="11"/>
      <c r="H40" s="11"/>
      <c r="I40" s="11"/>
      <c r="J40" s="11"/>
      <c r="K40" s="20"/>
      <c r="L40" s="11"/>
    </row>
    <row r="41" customFormat="false" ht="15" hidden="false" customHeight="false" outlineLevel="0" collapsed="false">
      <c r="A41" s="11"/>
      <c r="B41" s="20"/>
      <c r="C41" s="11"/>
      <c r="D41" s="11" t="str">
        <f aca="false">IFERROR(INDEX('Master Leads'!$B$2:$B$201,MATCH(C41,'Master Leads'!$A$2:$A$201,0)),"")</f>
        <v/>
      </c>
      <c r="E41" s="11" t="str">
        <f aca="false">IFERROR(INDEX('Master Leads'!$D$2:$D$201,MATCH(C41,'Master Leads'!$A$2:$A$201,0)),"")</f>
        <v/>
      </c>
      <c r="F41" s="11"/>
      <c r="G41" s="11"/>
      <c r="H41" s="11"/>
      <c r="I41" s="11"/>
      <c r="J41" s="11"/>
      <c r="K41" s="20"/>
      <c r="L41" s="11"/>
    </row>
    <row r="42" customFormat="false" ht="15" hidden="false" customHeight="false" outlineLevel="0" collapsed="false">
      <c r="A42" s="11"/>
      <c r="B42" s="20"/>
      <c r="C42" s="11"/>
      <c r="D42" s="11" t="str">
        <f aca="false">IFERROR(INDEX('Master Leads'!$B$2:$B$201,MATCH(C42,'Master Leads'!$A$2:$A$201,0)),"")</f>
        <v/>
      </c>
      <c r="E42" s="11" t="str">
        <f aca="false">IFERROR(INDEX('Master Leads'!$D$2:$D$201,MATCH(C42,'Master Leads'!$A$2:$A$201,0)),"")</f>
        <v/>
      </c>
      <c r="F42" s="11"/>
      <c r="G42" s="11"/>
      <c r="H42" s="11"/>
      <c r="I42" s="11"/>
      <c r="J42" s="11"/>
      <c r="K42" s="20"/>
      <c r="L42" s="11"/>
    </row>
    <row r="43" customFormat="false" ht="15" hidden="false" customHeight="false" outlineLevel="0" collapsed="false">
      <c r="A43" s="11"/>
      <c r="B43" s="20"/>
      <c r="C43" s="11"/>
      <c r="D43" s="11" t="str">
        <f aca="false">IFERROR(INDEX('Master Leads'!$B$2:$B$201,MATCH(C43,'Master Leads'!$A$2:$A$201,0)),"")</f>
        <v/>
      </c>
      <c r="E43" s="11" t="str">
        <f aca="false">IFERROR(INDEX('Master Leads'!$D$2:$D$201,MATCH(C43,'Master Leads'!$A$2:$A$201,0)),"")</f>
        <v/>
      </c>
      <c r="F43" s="11"/>
      <c r="G43" s="11"/>
      <c r="H43" s="11"/>
      <c r="I43" s="11"/>
      <c r="J43" s="11"/>
      <c r="K43" s="20"/>
      <c r="L43" s="11"/>
    </row>
    <row r="44" customFormat="false" ht="15" hidden="false" customHeight="false" outlineLevel="0" collapsed="false">
      <c r="A44" s="11"/>
      <c r="B44" s="20"/>
      <c r="C44" s="11"/>
      <c r="D44" s="11" t="str">
        <f aca="false">IFERROR(INDEX('Master Leads'!$B$2:$B$201,MATCH(C44,'Master Leads'!$A$2:$A$201,0)),"")</f>
        <v/>
      </c>
      <c r="E44" s="11" t="str">
        <f aca="false">IFERROR(INDEX('Master Leads'!$D$2:$D$201,MATCH(C44,'Master Leads'!$A$2:$A$201,0)),"")</f>
        <v/>
      </c>
      <c r="F44" s="11"/>
      <c r="G44" s="11"/>
      <c r="H44" s="11"/>
      <c r="I44" s="11"/>
      <c r="J44" s="11"/>
      <c r="K44" s="20"/>
      <c r="L44" s="11"/>
    </row>
    <row r="45" customFormat="false" ht="15" hidden="false" customHeight="false" outlineLevel="0" collapsed="false">
      <c r="A45" s="11"/>
      <c r="B45" s="20"/>
      <c r="C45" s="11"/>
      <c r="D45" s="11" t="str">
        <f aca="false">IFERROR(INDEX('Master Leads'!$B$2:$B$201,MATCH(C45,'Master Leads'!$A$2:$A$201,0)),"")</f>
        <v/>
      </c>
      <c r="E45" s="11" t="str">
        <f aca="false">IFERROR(INDEX('Master Leads'!$D$2:$D$201,MATCH(C45,'Master Leads'!$A$2:$A$201,0)),"")</f>
        <v/>
      </c>
      <c r="F45" s="11"/>
      <c r="G45" s="11"/>
      <c r="H45" s="11"/>
      <c r="I45" s="11"/>
      <c r="J45" s="11"/>
      <c r="K45" s="20"/>
      <c r="L45" s="11"/>
    </row>
    <row r="46" customFormat="false" ht="15" hidden="false" customHeight="false" outlineLevel="0" collapsed="false">
      <c r="A46" s="11"/>
      <c r="B46" s="20"/>
      <c r="C46" s="11"/>
      <c r="D46" s="11" t="str">
        <f aca="false">IFERROR(INDEX('Master Leads'!$B$2:$B$201,MATCH(C46,'Master Leads'!$A$2:$A$201,0)),"")</f>
        <v/>
      </c>
      <c r="E46" s="11" t="str">
        <f aca="false">IFERROR(INDEX('Master Leads'!$D$2:$D$201,MATCH(C46,'Master Leads'!$A$2:$A$201,0)),"")</f>
        <v/>
      </c>
      <c r="F46" s="11"/>
      <c r="G46" s="11"/>
      <c r="H46" s="11"/>
      <c r="I46" s="11"/>
      <c r="J46" s="11"/>
      <c r="K46" s="20"/>
      <c r="L46" s="11"/>
    </row>
    <row r="47" customFormat="false" ht="15" hidden="false" customHeight="false" outlineLevel="0" collapsed="false">
      <c r="A47" s="11"/>
      <c r="B47" s="20"/>
      <c r="C47" s="11"/>
      <c r="D47" s="11" t="str">
        <f aca="false">IFERROR(INDEX('Master Leads'!$B$2:$B$201,MATCH(C47,'Master Leads'!$A$2:$A$201,0)),"")</f>
        <v/>
      </c>
      <c r="E47" s="11" t="str">
        <f aca="false">IFERROR(INDEX('Master Leads'!$D$2:$D$201,MATCH(C47,'Master Leads'!$A$2:$A$201,0)),"")</f>
        <v/>
      </c>
      <c r="F47" s="11"/>
      <c r="G47" s="11"/>
      <c r="H47" s="11"/>
      <c r="I47" s="11"/>
      <c r="J47" s="11"/>
      <c r="K47" s="20"/>
      <c r="L47" s="11"/>
    </row>
    <row r="48" customFormat="false" ht="15" hidden="false" customHeight="false" outlineLevel="0" collapsed="false">
      <c r="A48" s="11"/>
      <c r="B48" s="20"/>
      <c r="C48" s="11"/>
      <c r="D48" s="11" t="str">
        <f aca="false">IFERROR(INDEX('Master Leads'!$B$2:$B$201,MATCH(C48,'Master Leads'!$A$2:$A$201,0)),"")</f>
        <v/>
      </c>
      <c r="E48" s="11" t="str">
        <f aca="false">IFERROR(INDEX('Master Leads'!$D$2:$D$201,MATCH(C48,'Master Leads'!$A$2:$A$201,0)),"")</f>
        <v/>
      </c>
      <c r="F48" s="11"/>
      <c r="G48" s="11"/>
      <c r="H48" s="11"/>
      <c r="I48" s="11"/>
      <c r="J48" s="11"/>
      <c r="K48" s="20"/>
      <c r="L48" s="11"/>
    </row>
    <row r="49" customFormat="false" ht="15" hidden="false" customHeight="false" outlineLevel="0" collapsed="false">
      <c r="A49" s="11"/>
      <c r="B49" s="20"/>
      <c r="C49" s="11"/>
      <c r="D49" s="11" t="str">
        <f aca="false">IFERROR(INDEX('Master Leads'!$B$2:$B$201,MATCH(C49,'Master Leads'!$A$2:$A$201,0)),"")</f>
        <v/>
      </c>
      <c r="E49" s="11" t="str">
        <f aca="false">IFERROR(INDEX('Master Leads'!$D$2:$D$201,MATCH(C49,'Master Leads'!$A$2:$A$201,0)),"")</f>
        <v/>
      </c>
      <c r="F49" s="11"/>
      <c r="G49" s="11"/>
      <c r="H49" s="11"/>
      <c r="I49" s="11"/>
      <c r="J49" s="11"/>
      <c r="K49" s="20"/>
      <c r="L49" s="11"/>
    </row>
    <row r="50" customFormat="false" ht="15" hidden="false" customHeight="false" outlineLevel="0" collapsed="false">
      <c r="A50" s="11"/>
      <c r="B50" s="20"/>
      <c r="C50" s="11"/>
      <c r="D50" s="11" t="str">
        <f aca="false">IFERROR(INDEX('Master Leads'!$B$2:$B$201,MATCH(C50,'Master Leads'!$A$2:$A$201,0)),"")</f>
        <v/>
      </c>
      <c r="E50" s="11" t="str">
        <f aca="false">IFERROR(INDEX('Master Leads'!$D$2:$D$201,MATCH(C50,'Master Leads'!$A$2:$A$201,0)),"")</f>
        <v/>
      </c>
      <c r="F50" s="11"/>
      <c r="G50" s="11"/>
      <c r="H50" s="11"/>
      <c r="I50" s="11"/>
      <c r="J50" s="11"/>
      <c r="K50" s="20"/>
      <c r="L50" s="11"/>
    </row>
    <row r="51" customFormat="false" ht="15" hidden="false" customHeight="false" outlineLevel="0" collapsed="false">
      <c r="A51" s="11"/>
      <c r="B51" s="20"/>
      <c r="C51" s="11"/>
      <c r="D51" s="11" t="str">
        <f aca="false">IFERROR(INDEX('Master Leads'!$B$2:$B$201,MATCH(C51,'Master Leads'!$A$2:$A$201,0)),"")</f>
        <v/>
      </c>
      <c r="E51" s="11" t="str">
        <f aca="false">IFERROR(INDEX('Master Leads'!$D$2:$D$201,MATCH(C51,'Master Leads'!$A$2:$A$201,0)),"")</f>
        <v/>
      </c>
      <c r="F51" s="11"/>
      <c r="G51" s="11"/>
      <c r="H51" s="11"/>
      <c r="I51" s="11"/>
      <c r="J51" s="11"/>
      <c r="K51" s="20"/>
      <c r="L51" s="11"/>
    </row>
    <row r="52" customFormat="false" ht="15" hidden="false" customHeight="false" outlineLevel="0" collapsed="false">
      <c r="A52" s="11"/>
      <c r="B52" s="20"/>
      <c r="C52" s="11"/>
      <c r="D52" s="11" t="str">
        <f aca="false">IFERROR(INDEX('Master Leads'!$B$2:$B$201,MATCH(C52,'Master Leads'!$A$2:$A$201,0)),"")</f>
        <v/>
      </c>
      <c r="E52" s="11" t="str">
        <f aca="false">IFERROR(INDEX('Master Leads'!$D$2:$D$201,MATCH(C52,'Master Leads'!$A$2:$A$201,0)),"")</f>
        <v/>
      </c>
      <c r="F52" s="11"/>
      <c r="G52" s="11"/>
      <c r="H52" s="11"/>
      <c r="I52" s="11"/>
      <c r="J52" s="11"/>
      <c r="K52" s="20"/>
      <c r="L52" s="11"/>
    </row>
    <row r="53" customFormat="false" ht="15" hidden="false" customHeight="false" outlineLevel="0" collapsed="false">
      <c r="A53" s="11"/>
      <c r="B53" s="20"/>
      <c r="C53" s="11"/>
      <c r="D53" s="11" t="str">
        <f aca="false">IFERROR(INDEX('Master Leads'!$B$2:$B$201,MATCH(C53,'Master Leads'!$A$2:$A$201,0)),"")</f>
        <v/>
      </c>
      <c r="E53" s="11" t="str">
        <f aca="false">IFERROR(INDEX('Master Leads'!$D$2:$D$201,MATCH(C53,'Master Leads'!$A$2:$A$201,0)),"")</f>
        <v/>
      </c>
      <c r="F53" s="11"/>
      <c r="G53" s="11"/>
      <c r="H53" s="11"/>
      <c r="I53" s="11"/>
      <c r="J53" s="11"/>
      <c r="K53" s="20"/>
      <c r="L53" s="11"/>
    </row>
    <row r="54" customFormat="false" ht="15" hidden="false" customHeight="false" outlineLevel="0" collapsed="false">
      <c r="A54" s="11"/>
      <c r="B54" s="20"/>
      <c r="C54" s="11"/>
      <c r="D54" s="11" t="str">
        <f aca="false">IFERROR(INDEX('Master Leads'!$B$2:$B$201,MATCH(C54,'Master Leads'!$A$2:$A$201,0)),"")</f>
        <v/>
      </c>
      <c r="E54" s="11" t="str">
        <f aca="false">IFERROR(INDEX('Master Leads'!$D$2:$D$201,MATCH(C54,'Master Leads'!$A$2:$A$201,0)),"")</f>
        <v/>
      </c>
      <c r="F54" s="11"/>
      <c r="G54" s="11"/>
      <c r="H54" s="11"/>
      <c r="I54" s="11"/>
      <c r="J54" s="11"/>
      <c r="K54" s="20"/>
      <c r="L54" s="11"/>
    </row>
    <row r="55" customFormat="false" ht="15" hidden="false" customHeight="false" outlineLevel="0" collapsed="false">
      <c r="A55" s="11"/>
      <c r="B55" s="20"/>
      <c r="C55" s="11"/>
      <c r="D55" s="11" t="str">
        <f aca="false">IFERROR(INDEX('Master Leads'!$B$2:$B$201,MATCH(C55,'Master Leads'!$A$2:$A$201,0)),"")</f>
        <v/>
      </c>
      <c r="E55" s="11" t="str">
        <f aca="false">IFERROR(INDEX('Master Leads'!$D$2:$D$201,MATCH(C55,'Master Leads'!$A$2:$A$201,0)),"")</f>
        <v/>
      </c>
      <c r="F55" s="11"/>
      <c r="G55" s="11"/>
      <c r="H55" s="11"/>
      <c r="I55" s="11"/>
      <c r="J55" s="11"/>
      <c r="K55" s="20"/>
      <c r="L55" s="11"/>
    </row>
    <row r="56" customFormat="false" ht="15" hidden="false" customHeight="false" outlineLevel="0" collapsed="false">
      <c r="A56" s="11"/>
      <c r="B56" s="20"/>
      <c r="C56" s="11"/>
      <c r="D56" s="11" t="str">
        <f aca="false">IFERROR(INDEX('Master Leads'!$B$2:$B$201,MATCH(C56,'Master Leads'!$A$2:$A$201,0)),"")</f>
        <v/>
      </c>
      <c r="E56" s="11" t="str">
        <f aca="false">IFERROR(INDEX('Master Leads'!$D$2:$D$201,MATCH(C56,'Master Leads'!$A$2:$A$201,0)),"")</f>
        <v/>
      </c>
      <c r="F56" s="11"/>
      <c r="G56" s="11"/>
      <c r="H56" s="11"/>
      <c r="I56" s="11"/>
      <c r="J56" s="11"/>
      <c r="K56" s="20"/>
      <c r="L56" s="11"/>
    </row>
    <row r="57" customFormat="false" ht="15" hidden="false" customHeight="false" outlineLevel="0" collapsed="false">
      <c r="A57" s="11"/>
      <c r="B57" s="20"/>
      <c r="C57" s="11"/>
      <c r="D57" s="11" t="str">
        <f aca="false">IFERROR(INDEX('Master Leads'!$B$2:$B$201,MATCH(C57,'Master Leads'!$A$2:$A$201,0)),"")</f>
        <v/>
      </c>
      <c r="E57" s="11" t="str">
        <f aca="false">IFERROR(INDEX('Master Leads'!$D$2:$D$201,MATCH(C57,'Master Leads'!$A$2:$A$201,0)),"")</f>
        <v/>
      </c>
      <c r="F57" s="11"/>
      <c r="G57" s="11"/>
      <c r="H57" s="11"/>
      <c r="I57" s="11"/>
      <c r="J57" s="11"/>
      <c r="K57" s="20"/>
      <c r="L57" s="11"/>
    </row>
    <row r="58" customFormat="false" ht="15" hidden="false" customHeight="false" outlineLevel="0" collapsed="false">
      <c r="A58" s="11"/>
      <c r="B58" s="20"/>
      <c r="C58" s="11"/>
      <c r="D58" s="11" t="str">
        <f aca="false">IFERROR(INDEX('Master Leads'!$B$2:$B$201,MATCH(C58,'Master Leads'!$A$2:$A$201,0)),"")</f>
        <v/>
      </c>
      <c r="E58" s="11" t="str">
        <f aca="false">IFERROR(INDEX('Master Leads'!$D$2:$D$201,MATCH(C58,'Master Leads'!$A$2:$A$201,0)),"")</f>
        <v/>
      </c>
      <c r="F58" s="11"/>
      <c r="G58" s="11"/>
      <c r="H58" s="11"/>
      <c r="I58" s="11"/>
      <c r="J58" s="11"/>
      <c r="K58" s="20"/>
      <c r="L58" s="11"/>
    </row>
    <row r="59" customFormat="false" ht="15" hidden="false" customHeight="false" outlineLevel="0" collapsed="false">
      <c r="A59" s="11"/>
      <c r="B59" s="20"/>
      <c r="C59" s="11"/>
      <c r="D59" s="11" t="str">
        <f aca="false">IFERROR(INDEX('Master Leads'!$B$2:$B$201,MATCH(C59,'Master Leads'!$A$2:$A$201,0)),"")</f>
        <v/>
      </c>
      <c r="E59" s="11" t="str">
        <f aca="false">IFERROR(INDEX('Master Leads'!$D$2:$D$201,MATCH(C59,'Master Leads'!$A$2:$A$201,0)),"")</f>
        <v/>
      </c>
      <c r="F59" s="11"/>
      <c r="G59" s="11"/>
      <c r="H59" s="11"/>
      <c r="I59" s="11"/>
      <c r="J59" s="11"/>
      <c r="K59" s="20"/>
      <c r="L59" s="11"/>
    </row>
    <row r="60" customFormat="false" ht="15" hidden="false" customHeight="false" outlineLevel="0" collapsed="false">
      <c r="A60" s="11"/>
      <c r="B60" s="20"/>
      <c r="C60" s="11"/>
      <c r="D60" s="11" t="str">
        <f aca="false">IFERROR(INDEX('Master Leads'!$B$2:$B$201,MATCH(C60,'Master Leads'!$A$2:$A$201,0)),"")</f>
        <v/>
      </c>
      <c r="E60" s="11" t="str">
        <f aca="false">IFERROR(INDEX('Master Leads'!$D$2:$D$201,MATCH(C60,'Master Leads'!$A$2:$A$201,0)),"")</f>
        <v/>
      </c>
      <c r="F60" s="11"/>
      <c r="G60" s="11"/>
      <c r="H60" s="11"/>
      <c r="I60" s="11"/>
      <c r="J60" s="11"/>
      <c r="K60" s="20"/>
      <c r="L60" s="11"/>
    </row>
    <row r="61" customFormat="false" ht="15" hidden="false" customHeight="false" outlineLevel="0" collapsed="false">
      <c r="A61" s="11"/>
      <c r="B61" s="20"/>
      <c r="C61" s="11"/>
      <c r="D61" s="11" t="str">
        <f aca="false">IFERROR(INDEX('Master Leads'!$B$2:$B$201,MATCH(C61,'Master Leads'!$A$2:$A$201,0)),"")</f>
        <v/>
      </c>
      <c r="E61" s="11" t="str">
        <f aca="false">IFERROR(INDEX('Master Leads'!$D$2:$D$201,MATCH(C61,'Master Leads'!$A$2:$A$201,0)),"")</f>
        <v/>
      </c>
      <c r="F61" s="11"/>
      <c r="G61" s="11"/>
      <c r="H61" s="11"/>
      <c r="I61" s="11"/>
      <c r="J61" s="11"/>
      <c r="K61" s="20"/>
      <c r="L61" s="11"/>
    </row>
    <row r="62" customFormat="false" ht="15" hidden="false" customHeight="false" outlineLevel="0" collapsed="false">
      <c r="A62" s="11"/>
      <c r="B62" s="20"/>
      <c r="C62" s="11"/>
      <c r="D62" s="11" t="str">
        <f aca="false">IFERROR(INDEX('Master Leads'!$B$2:$B$201,MATCH(C62,'Master Leads'!$A$2:$A$201,0)),"")</f>
        <v/>
      </c>
      <c r="E62" s="11" t="str">
        <f aca="false">IFERROR(INDEX('Master Leads'!$D$2:$D$201,MATCH(C62,'Master Leads'!$A$2:$A$201,0)),"")</f>
        <v/>
      </c>
      <c r="F62" s="11"/>
      <c r="G62" s="11"/>
      <c r="H62" s="11"/>
      <c r="I62" s="11"/>
      <c r="J62" s="11"/>
      <c r="K62" s="20"/>
      <c r="L62" s="11"/>
    </row>
    <row r="63" customFormat="false" ht="15" hidden="false" customHeight="false" outlineLevel="0" collapsed="false">
      <c r="A63" s="11"/>
      <c r="B63" s="20"/>
      <c r="C63" s="11"/>
      <c r="D63" s="11" t="str">
        <f aca="false">IFERROR(INDEX('Master Leads'!$B$2:$B$201,MATCH(C63,'Master Leads'!$A$2:$A$201,0)),"")</f>
        <v/>
      </c>
      <c r="E63" s="11" t="str">
        <f aca="false">IFERROR(INDEX('Master Leads'!$D$2:$D$201,MATCH(C63,'Master Leads'!$A$2:$A$201,0)),"")</f>
        <v/>
      </c>
      <c r="F63" s="11"/>
      <c r="G63" s="11"/>
      <c r="H63" s="11"/>
      <c r="I63" s="11"/>
      <c r="J63" s="11"/>
      <c r="K63" s="20"/>
      <c r="L63" s="11"/>
    </row>
    <row r="64" customFormat="false" ht="15" hidden="false" customHeight="false" outlineLevel="0" collapsed="false">
      <c r="A64" s="11"/>
      <c r="B64" s="20"/>
      <c r="C64" s="11"/>
      <c r="D64" s="11" t="str">
        <f aca="false">IFERROR(INDEX('Master Leads'!$B$2:$B$201,MATCH(C64,'Master Leads'!$A$2:$A$201,0)),"")</f>
        <v/>
      </c>
      <c r="E64" s="11" t="str">
        <f aca="false">IFERROR(INDEX('Master Leads'!$D$2:$D$201,MATCH(C64,'Master Leads'!$A$2:$A$201,0)),"")</f>
        <v/>
      </c>
      <c r="F64" s="11"/>
      <c r="G64" s="11"/>
      <c r="H64" s="11"/>
      <c r="I64" s="11"/>
      <c r="J64" s="11"/>
      <c r="K64" s="20"/>
      <c r="L64" s="11"/>
    </row>
    <row r="65" customFormat="false" ht="15" hidden="false" customHeight="false" outlineLevel="0" collapsed="false">
      <c r="A65" s="11"/>
      <c r="B65" s="20"/>
      <c r="C65" s="11"/>
      <c r="D65" s="11" t="str">
        <f aca="false">IFERROR(INDEX('Master Leads'!$B$2:$B$201,MATCH(C65,'Master Leads'!$A$2:$A$201,0)),"")</f>
        <v/>
      </c>
      <c r="E65" s="11" t="str">
        <f aca="false">IFERROR(INDEX('Master Leads'!$D$2:$D$201,MATCH(C65,'Master Leads'!$A$2:$A$201,0)),"")</f>
        <v/>
      </c>
      <c r="F65" s="11"/>
      <c r="G65" s="11"/>
      <c r="H65" s="11"/>
      <c r="I65" s="11"/>
      <c r="J65" s="11"/>
      <c r="K65" s="20"/>
      <c r="L65" s="11"/>
    </row>
    <row r="66" customFormat="false" ht="15" hidden="false" customHeight="false" outlineLevel="0" collapsed="false">
      <c r="A66" s="11"/>
      <c r="B66" s="20"/>
      <c r="C66" s="11"/>
      <c r="D66" s="11" t="str">
        <f aca="false">IFERROR(INDEX('Master Leads'!$B$2:$B$201,MATCH(C66,'Master Leads'!$A$2:$A$201,0)),"")</f>
        <v/>
      </c>
      <c r="E66" s="11" t="str">
        <f aca="false">IFERROR(INDEX('Master Leads'!$D$2:$D$201,MATCH(C66,'Master Leads'!$A$2:$A$201,0)),"")</f>
        <v/>
      </c>
      <c r="F66" s="11"/>
      <c r="G66" s="11"/>
      <c r="H66" s="11"/>
      <c r="I66" s="11"/>
      <c r="J66" s="11"/>
      <c r="K66" s="20"/>
      <c r="L66" s="11"/>
    </row>
    <row r="67" customFormat="false" ht="15" hidden="false" customHeight="false" outlineLevel="0" collapsed="false">
      <c r="A67" s="11"/>
      <c r="B67" s="20"/>
      <c r="C67" s="11"/>
      <c r="D67" s="11" t="str">
        <f aca="false">IFERROR(INDEX('Master Leads'!$B$2:$B$201,MATCH(C67,'Master Leads'!$A$2:$A$201,0)),"")</f>
        <v/>
      </c>
      <c r="E67" s="11" t="str">
        <f aca="false">IFERROR(INDEX('Master Leads'!$D$2:$D$201,MATCH(C67,'Master Leads'!$A$2:$A$201,0)),"")</f>
        <v/>
      </c>
      <c r="F67" s="11"/>
      <c r="G67" s="11"/>
      <c r="H67" s="11"/>
      <c r="I67" s="11"/>
      <c r="J67" s="11"/>
      <c r="K67" s="20"/>
      <c r="L67" s="11"/>
    </row>
    <row r="68" customFormat="false" ht="15" hidden="false" customHeight="false" outlineLevel="0" collapsed="false">
      <c r="A68" s="11"/>
      <c r="B68" s="20"/>
      <c r="C68" s="11"/>
      <c r="D68" s="11" t="str">
        <f aca="false">IFERROR(INDEX('Master Leads'!$B$2:$B$201,MATCH(C68,'Master Leads'!$A$2:$A$201,0)),"")</f>
        <v/>
      </c>
      <c r="E68" s="11" t="str">
        <f aca="false">IFERROR(INDEX('Master Leads'!$D$2:$D$201,MATCH(C68,'Master Leads'!$A$2:$A$201,0)),"")</f>
        <v/>
      </c>
      <c r="F68" s="11"/>
      <c r="G68" s="11"/>
      <c r="H68" s="11"/>
      <c r="I68" s="11"/>
      <c r="J68" s="11"/>
      <c r="K68" s="20"/>
      <c r="L68" s="11"/>
    </row>
    <row r="69" customFormat="false" ht="15" hidden="false" customHeight="false" outlineLevel="0" collapsed="false">
      <c r="A69" s="11"/>
      <c r="B69" s="20"/>
      <c r="C69" s="11"/>
      <c r="D69" s="11" t="str">
        <f aca="false">IFERROR(INDEX('Master Leads'!$B$2:$B$201,MATCH(C69,'Master Leads'!$A$2:$A$201,0)),"")</f>
        <v/>
      </c>
      <c r="E69" s="11" t="str">
        <f aca="false">IFERROR(INDEX('Master Leads'!$D$2:$D$201,MATCH(C69,'Master Leads'!$A$2:$A$201,0)),"")</f>
        <v/>
      </c>
      <c r="F69" s="11"/>
      <c r="G69" s="11"/>
      <c r="H69" s="11"/>
      <c r="I69" s="11"/>
      <c r="J69" s="11"/>
      <c r="K69" s="20"/>
      <c r="L69" s="11"/>
    </row>
    <row r="70" customFormat="false" ht="15" hidden="false" customHeight="false" outlineLevel="0" collapsed="false">
      <c r="A70" s="11"/>
      <c r="B70" s="20"/>
      <c r="C70" s="11"/>
      <c r="D70" s="11" t="str">
        <f aca="false">IFERROR(INDEX('Master Leads'!$B$2:$B$201,MATCH(C70,'Master Leads'!$A$2:$A$201,0)),"")</f>
        <v/>
      </c>
      <c r="E70" s="11" t="str">
        <f aca="false">IFERROR(INDEX('Master Leads'!$D$2:$D$201,MATCH(C70,'Master Leads'!$A$2:$A$201,0)),"")</f>
        <v/>
      </c>
      <c r="F70" s="11"/>
      <c r="G70" s="11"/>
      <c r="H70" s="11"/>
      <c r="I70" s="11"/>
      <c r="J70" s="11"/>
      <c r="K70" s="20"/>
      <c r="L70" s="11"/>
    </row>
    <row r="71" customFormat="false" ht="15" hidden="false" customHeight="false" outlineLevel="0" collapsed="false">
      <c r="A71" s="11"/>
      <c r="B71" s="20"/>
      <c r="C71" s="11"/>
      <c r="D71" s="11" t="str">
        <f aca="false">IFERROR(INDEX('Master Leads'!$B$2:$B$201,MATCH(C71,'Master Leads'!$A$2:$A$201,0)),"")</f>
        <v/>
      </c>
      <c r="E71" s="11" t="str">
        <f aca="false">IFERROR(INDEX('Master Leads'!$D$2:$D$201,MATCH(C71,'Master Leads'!$A$2:$A$201,0)),"")</f>
        <v/>
      </c>
      <c r="F71" s="11"/>
      <c r="G71" s="11"/>
      <c r="H71" s="11"/>
      <c r="I71" s="11"/>
      <c r="J71" s="11"/>
      <c r="K71" s="20"/>
      <c r="L71" s="11"/>
    </row>
    <row r="72" customFormat="false" ht="15" hidden="false" customHeight="false" outlineLevel="0" collapsed="false">
      <c r="A72" s="11"/>
      <c r="B72" s="20"/>
      <c r="C72" s="11"/>
      <c r="D72" s="11" t="str">
        <f aca="false">IFERROR(INDEX('Master Leads'!$B$2:$B$201,MATCH(C72,'Master Leads'!$A$2:$A$201,0)),"")</f>
        <v/>
      </c>
      <c r="E72" s="11" t="str">
        <f aca="false">IFERROR(INDEX('Master Leads'!$D$2:$D$201,MATCH(C72,'Master Leads'!$A$2:$A$201,0)),"")</f>
        <v/>
      </c>
      <c r="F72" s="11"/>
      <c r="G72" s="11"/>
      <c r="H72" s="11"/>
      <c r="I72" s="11"/>
      <c r="J72" s="11"/>
      <c r="K72" s="20"/>
      <c r="L72" s="11"/>
    </row>
    <row r="73" customFormat="false" ht="15" hidden="false" customHeight="false" outlineLevel="0" collapsed="false">
      <c r="A73" s="11"/>
      <c r="B73" s="20"/>
      <c r="C73" s="11"/>
      <c r="D73" s="11" t="str">
        <f aca="false">IFERROR(INDEX('Master Leads'!$B$2:$B$201,MATCH(C73,'Master Leads'!$A$2:$A$201,0)),"")</f>
        <v/>
      </c>
      <c r="E73" s="11" t="str">
        <f aca="false">IFERROR(INDEX('Master Leads'!$D$2:$D$201,MATCH(C73,'Master Leads'!$A$2:$A$201,0)),"")</f>
        <v/>
      </c>
      <c r="F73" s="11"/>
      <c r="G73" s="11"/>
      <c r="H73" s="11"/>
      <c r="I73" s="11"/>
      <c r="J73" s="11"/>
      <c r="K73" s="20"/>
      <c r="L73" s="11"/>
    </row>
    <row r="74" customFormat="false" ht="15" hidden="false" customHeight="false" outlineLevel="0" collapsed="false">
      <c r="A74" s="11"/>
      <c r="B74" s="20"/>
      <c r="C74" s="11"/>
      <c r="D74" s="11" t="str">
        <f aca="false">IFERROR(INDEX('Master Leads'!$B$2:$B$201,MATCH(C74,'Master Leads'!$A$2:$A$201,0)),"")</f>
        <v/>
      </c>
      <c r="E74" s="11" t="str">
        <f aca="false">IFERROR(INDEX('Master Leads'!$D$2:$D$201,MATCH(C74,'Master Leads'!$A$2:$A$201,0)),"")</f>
        <v/>
      </c>
      <c r="F74" s="11"/>
      <c r="G74" s="11"/>
      <c r="H74" s="11"/>
      <c r="I74" s="11"/>
      <c r="J74" s="11"/>
      <c r="K74" s="20"/>
      <c r="L74" s="11"/>
    </row>
    <row r="75" customFormat="false" ht="15" hidden="false" customHeight="false" outlineLevel="0" collapsed="false">
      <c r="A75" s="11"/>
      <c r="B75" s="20"/>
      <c r="C75" s="11"/>
      <c r="D75" s="11" t="str">
        <f aca="false">IFERROR(INDEX('Master Leads'!$B$2:$B$201,MATCH(C75,'Master Leads'!$A$2:$A$201,0)),"")</f>
        <v/>
      </c>
      <c r="E75" s="11" t="str">
        <f aca="false">IFERROR(INDEX('Master Leads'!$D$2:$D$201,MATCH(C75,'Master Leads'!$A$2:$A$201,0)),"")</f>
        <v/>
      </c>
      <c r="F75" s="11"/>
      <c r="G75" s="11"/>
      <c r="H75" s="11"/>
      <c r="I75" s="11"/>
      <c r="J75" s="11"/>
      <c r="K75" s="20"/>
      <c r="L75" s="11"/>
    </row>
    <row r="76" customFormat="false" ht="15" hidden="false" customHeight="false" outlineLevel="0" collapsed="false">
      <c r="A76" s="11"/>
      <c r="B76" s="20"/>
      <c r="C76" s="11"/>
      <c r="D76" s="11" t="str">
        <f aca="false">IFERROR(INDEX('Master Leads'!$B$2:$B$201,MATCH(C76,'Master Leads'!$A$2:$A$201,0)),"")</f>
        <v/>
      </c>
      <c r="E76" s="11" t="str">
        <f aca="false">IFERROR(INDEX('Master Leads'!$D$2:$D$201,MATCH(C76,'Master Leads'!$A$2:$A$201,0)),"")</f>
        <v/>
      </c>
      <c r="F76" s="11"/>
      <c r="G76" s="11"/>
      <c r="H76" s="11"/>
      <c r="I76" s="11"/>
      <c r="J76" s="11"/>
      <c r="K76" s="20"/>
      <c r="L76" s="11"/>
    </row>
    <row r="77" customFormat="false" ht="15" hidden="false" customHeight="false" outlineLevel="0" collapsed="false">
      <c r="A77" s="11"/>
      <c r="B77" s="20"/>
      <c r="C77" s="11"/>
      <c r="D77" s="11" t="str">
        <f aca="false">IFERROR(INDEX('Master Leads'!$B$2:$B$201,MATCH(C77,'Master Leads'!$A$2:$A$201,0)),"")</f>
        <v/>
      </c>
      <c r="E77" s="11" t="str">
        <f aca="false">IFERROR(INDEX('Master Leads'!$D$2:$D$201,MATCH(C77,'Master Leads'!$A$2:$A$201,0)),"")</f>
        <v/>
      </c>
      <c r="F77" s="11"/>
      <c r="G77" s="11"/>
      <c r="H77" s="11"/>
      <c r="I77" s="11"/>
      <c r="J77" s="11"/>
      <c r="K77" s="20"/>
      <c r="L77" s="11"/>
    </row>
    <row r="78" customFormat="false" ht="15" hidden="false" customHeight="false" outlineLevel="0" collapsed="false">
      <c r="A78" s="11"/>
      <c r="B78" s="20"/>
      <c r="C78" s="11"/>
      <c r="D78" s="11" t="str">
        <f aca="false">IFERROR(INDEX('Master Leads'!$B$2:$B$201,MATCH(C78,'Master Leads'!$A$2:$A$201,0)),"")</f>
        <v/>
      </c>
      <c r="E78" s="11" t="str">
        <f aca="false">IFERROR(INDEX('Master Leads'!$D$2:$D$201,MATCH(C78,'Master Leads'!$A$2:$A$201,0)),"")</f>
        <v/>
      </c>
      <c r="F78" s="11"/>
      <c r="G78" s="11"/>
      <c r="H78" s="11"/>
      <c r="I78" s="11"/>
      <c r="J78" s="11"/>
      <c r="K78" s="20"/>
      <c r="L78" s="11"/>
    </row>
    <row r="79" customFormat="false" ht="15" hidden="false" customHeight="false" outlineLevel="0" collapsed="false">
      <c r="A79" s="11"/>
      <c r="B79" s="20"/>
      <c r="C79" s="11"/>
      <c r="D79" s="11" t="str">
        <f aca="false">IFERROR(INDEX('Master Leads'!$B$2:$B$201,MATCH(C79,'Master Leads'!$A$2:$A$201,0)),"")</f>
        <v/>
      </c>
      <c r="E79" s="11" t="str">
        <f aca="false">IFERROR(INDEX('Master Leads'!$D$2:$D$201,MATCH(C79,'Master Leads'!$A$2:$A$201,0)),"")</f>
        <v/>
      </c>
      <c r="F79" s="11"/>
      <c r="G79" s="11"/>
      <c r="H79" s="11"/>
      <c r="I79" s="11"/>
      <c r="J79" s="11"/>
      <c r="K79" s="20"/>
      <c r="L79" s="11"/>
    </row>
    <row r="80" customFormat="false" ht="15" hidden="false" customHeight="false" outlineLevel="0" collapsed="false">
      <c r="A80" s="11"/>
      <c r="B80" s="20"/>
      <c r="C80" s="11"/>
      <c r="D80" s="11" t="str">
        <f aca="false">IFERROR(INDEX('Master Leads'!$B$2:$B$201,MATCH(C80,'Master Leads'!$A$2:$A$201,0)),"")</f>
        <v/>
      </c>
      <c r="E80" s="11" t="str">
        <f aca="false">IFERROR(INDEX('Master Leads'!$D$2:$D$201,MATCH(C80,'Master Leads'!$A$2:$A$201,0)),"")</f>
        <v/>
      </c>
      <c r="F80" s="11"/>
      <c r="G80" s="11"/>
      <c r="H80" s="11"/>
      <c r="I80" s="11"/>
      <c r="J80" s="11"/>
      <c r="K80" s="20"/>
      <c r="L80" s="11"/>
    </row>
    <row r="81" customFormat="false" ht="15" hidden="false" customHeight="false" outlineLevel="0" collapsed="false">
      <c r="A81" s="11"/>
      <c r="B81" s="20"/>
      <c r="C81" s="11"/>
      <c r="D81" s="11" t="str">
        <f aca="false">IFERROR(INDEX('Master Leads'!$B$2:$B$201,MATCH(C81,'Master Leads'!$A$2:$A$201,0)),"")</f>
        <v/>
      </c>
      <c r="E81" s="11" t="str">
        <f aca="false">IFERROR(INDEX('Master Leads'!$D$2:$D$201,MATCH(C81,'Master Leads'!$A$2:$A$201,0)),"")</f>
        <v/>
      </c>
      <c r="F81" s="11"/>
      <c r="G81" s="11"/>
      <c r="H81" s="11"/>
      <c r="I81" s="11"/>
      <c r="J81" s="11"/>
      <c r="K81" s="20"/>
      <c r="L81" s="11"/>
    </row>
    <row r="82" customFormat="false" ht="15" hidden="false" customHeight="false" outlineLevel="0" collapsed="false">
      <c r="A82" s="11"/>
      <c r="B82" s="20"/>
      <c r="C82" s="11"/>
      <c r="D82" s="11" t="str">
        <f aca="false">IFERROR(INDEX('Master Leads'!$B$2:$B$201,MATCH(C82,'Master Leads'!$A$2:$A$201,0)),"")</f>
        <v/>
      </c>
      <c r="E82" s="11" t="str">
        <f aca="false">IFERROR(INDEX('Master Leads'!$D$2:$D$201,MATCH(C82,'Master Leads'!$A$2:$A$201,0)),"")</f>
        <v/>
      </c>
      <c r="F82" s="11"/>
      <c r="G82" s="11"/>
      <c r="H82" s="11"/>
      <c r="I82" s="11"/>
      <c r="J82" s="11"/>
      <c r="K82" s="20"/>
      <c r="L82" s="11"/>
    </row>
    <row r="83" customFormat="false" ht="15" hidden="false" customHeight="false" outlineLevel="0" collapsed="false">
      <c r="A83" s="11"/>
      <c r="B83" s="20"/>
      <c r="C83" s="11"/>
      <c r="D83" s="11" t="str">
        <f aca="false">IFERROR(INDEX('Master Leads'!$B$2:$B$201,MATCH(C83,'Master Leads'!$A$2:$A$201,0)),"")</f>
        <v/>
      </c>
      <c r="E83" s="11" t="str">
        <f aca="false">IFERROR(INDEX('Master Leads'!$D$2:$D$201,MATCH(C83,'Master Leads'!$A$2:$A$201,0)),"")</f>
        <v/>
      </c>
      <c r="F83" s="11"/>
      <c r="G83" s="11"/>
      <c r="H83" s="11"/>
      <c r="I83" s="11"/>
      <c r="J83" s="11"/>
      <c r="K83" s="20"/>
      <c r="L83" s="11"/>
    </row>
    <row r="84" customFormat="false" ht="15" hidden="false" customHeight="false" outlineLevel="0" collapsed="false">
      <c r="A84" s="11"/>
      <c r="B84" s="20"/>
      <c r="C84" s="11"/>
      <c r="D84" s="11" t="str">
        <f aca="false">IFERROR(INDEX('Master Leads'!$B$2:$B$201,MATCH(C84,'Master Leads'!$A$2:$A$201,0)),"")</f>
        <v/>
      </c>
      <c r="E84" s="11" t="str">
        <f aca="false">IFERROR(INDEX('Master Leads'!$D$2:$D$201,MATCH(C84,'Master Leads'!$A$2:$A$201,0)),"")</f>
        <v/>
      </c>
      <c r="F84" s="11"/>
      <c r="G84" s="11"/>
      <c r="H84" s="11"/>
      <c r="I84" s="11"/>
      <c r="J84" s="11"/>
      <c r="K84" s="20"/>
      <c r="L84" s="11"/>
    </row>
    <row r="85" customFormat="false" ht="15" hidden="false" customHeight="false" outlineLevel="0" collapsed="false">
      <c r="A85" s="11"/>
      <c r="B85" s="20"/>
      <c r="C85" s="11"/>
      <c r="D85" s="11" t="str">
        <f aca="false">IFERROR(INDEX('Master Leads'!$B$2:$B$201,MATCH(C85,'Master Leads'!$A$2:$A$201,0)),"")</f>
        <v/>
      </c>
      <c r="E85" s="11" t="str">
        <f aca="false">IFERROR(INDEX('Master Leads'!$D$2:$D$201,MATCH(C85,'Master Leads'!$A$2:$A$201,0)),"")</f>
        <v/>
      </c>
      <c r="F85" s="11"/>
      <c r="G85" s="11"/>
      <c r="H85" s="11"/>
      <c r="I85" s="11"/>
      <c r="J85" s="11"/>
      <c r="K85" s="20"/>
      <c r="L85" s="11"/>
    </row>
    <row r="86" customFormat="false" ht="15" hidden="false" customHeight="false" outlineLevel="0" collapsed="false">
      <c r="A86" s="11"/>
      <c r="B86" s="20"/>
      <c r="C86" s="11"/>
      <c r="D86" s="11" t="str">
        <f aca="false">IFERROR(INDEX('Master Leads'!$B$2:$B$201,MATCH(C86,'Master Leads'!$A$2:$A$201,0)),"")</f>
        <v/>
      </c>
      <c r="E86" s="11" t="str">
        <f aca="false">IFERROR(INDEX('Master Leads'!$D$2:$D$201,MATCH(C86,'Master Leads'!$A$2:$A$201,0)),"")</f>
        <v/>
      </c>
      <c r="F86" s="11"/>
      <c r="G86" s="11"/>
      <c r="H86" s="11"/>
      <c r="I86" s="11"/>
      <c r="J86" s="11"/>
      <c r="K86" s="20"/>
      <c r="L86" s="11"/>
    </row>
    <row r="87" customFormat="false" ht="15" hidden="false" customHeight="false" outlineLevel="0" collapsed="false">
      <c r="A87" s="11"/>
      <c r="B87" s="20"/>
      <c r="C87" s="11"/>
      <c r="D87" s="11" t="str">
        <f aca="false">IFERROR(INDEX('Master Leads'!$B$2:$B$201,MATCH(C87,'Master Leads'!$A$2:$A$201,0)),"")</f>
        <v/>
      </c>
      <c r="E87" s="11" t="str">
        <f aca="false">IFERROR(INDEX('Master Leads'!$D$2:$D$201,MATCH(C87,'Master Leads'!$A$2:$A$201,0)),"")</f>
        <v/>
      </c>
      <c r="F87" s="11"/>
      <c r="G87" s="11"/>
      <c r="H87" s="11"/>
      <c r="I87" s="11"/>
      <c r="J87" s="11"/>
      <c r="K87" s="20"/>
      <c r="L87" s="11"/>
    </row>
    <row r="88" customFormat="false" ht="15" hidden="false" customHeight="false" outlineLevel="0" collapsed="false">
      <c r="A88" s="11"/>
      <c r="B88" s="20"/>
      <c r="C88" s="11"/>
      <c r="D88" s="11" t="str">
        <f aca="false">IFERROR(INDEX('Master Leads'!$B$2:$B$201,MATCH(C88,'Master Leads'!$A$2:$A$201,0)),"")</f>
        <v/>
      </c>
      <c r="E88" s="11" t="str">
        <f aca="false">IFERROR(INDEX('Master Leads'!$D$2:$D$201,MATCH(C88,'Master Leads'!$A$2:$A$201,0)),"")</f>
        <v/>
      </c>
      <c r="F88" s="11"/>
      <c r="G88" s="11"/>
      <c r="H88" s="11"/>
      <c r="I88" s="11"/>
      <c r="J88" s="11"/>
      <c r="K88" s="20"/>
      <c r="L88" s="11"/>
    </row>
    <row r="89" customFormat="false" ht="15" hidden="false" customHeight="false" outlineLevel="0" collapsed="false">
      <c r="A89" s="11"/>
      <c r="B89" s="20"/>
      <c r="C89" s="11"/>
      <c r="D89" s="11" t="str">
        <f aca="false">IFERROR(INDEX('Master Leads'!$B$2:$B$201,MATCH(C89,'Master Leads'!$A$2:$A$201,0)),"")</f>
        <v/>
      </c>
      <c r="E89" s="11" t="str">
        <f aca="false">IFERROR(INDEX('Master Leads'!$D$2:$D$201,MATCH(C89,'Master Leads'!$A$2:$A$201,0)),"")</f>
        <v/>
      </c>
      <c r="F89" s="11"/>
      <c r="G89" s="11"/>
      <c r="H89" s="11"/>
      <c r="I89" s="11"/>
      <c r="J89" s="11"/>
      <c r="K89" s="20"/>
      <c r="L89" s="11"/>
    </row>
    <row r="90" customFormat="false" ht="15" hidden="false" customHeight="false" outlineLevel="0" collapsed="false">
      <c r="A90" s="11"/>
      <c r="B90" s="20"/>
      <c r="C90" s="11"/>
      <c r="D90" s="11" t="str">
        <f aca="false">IFERROR(INDEX('Master Leads'!$B$2:$B$201,MATCH(C90,'Master Leads'!$A$2:$A$201,0)),"")</f>
        <v/>
      </c>
      <c r="E90" s="11" t="str">
        <f aca="false">IFERROR(INDEX('Master Leads'!$D$2:$D$201,MATCH(C90,'Master Leads'!$A$2:$A$201,0)),"")</f>
        <v/>
      </c>
      <c r="F90" s="11"/>
      <c r="G90" s="11"/>
      <c r="H90" s="11"/>
      <c r="I90" s="11"/>
      <c r="J90" s="11"/>
      <c r="K90" s="20"/>
      <c r="L90" s="11"/>
    </row>
    <row r="91" customFormat="false" ht="15" hidden="false" customHeight="false" outlineLevel="0" collapsed="false">
      <c r="A91" s="11"/>
      <c r="B91" s="20"/>
      <c r="C91" s="11"/>
      <c r="D91" s="11" t="str">
        <f aca="false">IFERROR(INDEX('Master Leads'!$B$2:$B$201,MATCH(C91,'Master Leads'!$A$2:$A$201,0)),"")</f>
        <v/>
      </c>
      <c r="E91" s="11" t="str">
        <f aca="false">IFERROR(INDEX('Master Leads'!$D$2:$D$201,MATCH(C91,'Master Leads'!$A$2:$A$201,0)),"")</f>
        <v/>
      </c>
      <c r="F91" s="11"/>
      <c r="G91" s="11"/>
      <c r="H91" s="11"/>
      <c r="I91" s="11"/>
      <c r="J91" s="11"/>
      <c r="K91" s="20"/>
      <c r="L91" s="11"/>
    </row>
    <row r="92" customFormat="false" ht="15" hidden="false" customHeight="false" outlineLevel="0" collapsed="false">
      <c r="A92" s="11"/>
      <c r="B92" s="20"/>
      <c r="C92" s="11"/>
      <c r="D92" s="11" t="str">
        <f aca="false">IFERROR(INDEX('Master Leads'!$B$2:$B$201,MATCH(C92,'Master Leads'!$A$2:$A$201,0)),"")</f>
        <v/>
      </c>
      <c r="E92" s="11" t="str">
        <f aca="false">IFERROR(INDEX('Master Leads'!$D$2:$D$201,MATCH(C92,'Master Leads'!$A$2:$A$201,0)),"")</f>
        <v/>
      </c>
      <c r="F92" s="11"/>
      <c r="G92" s="11"/>
      <c r="H92" s="11"/>
      <c r="I92" s="11"/>
      <c r="J92" s="11"/>
      <c r="K92" s="20"/>
      <c r="L92" s="11"/>
    </row>
    <row r="93" customFormat="false" ht="15" hidden="false" customHeight="false" outlineLevel="0" collapsed="false">
      <c r="A93" s="11"/>
      <c r="B93" s="20"/>
      <c r="C93" s="11"/>
      <c r="D93" s="11" t="str">
        <f aca="false">IFERROR(INDEX('Master Leads'!$B$2:$B$201,MATCH(C93,'Master Leads'!$A$2:$A$201,0)),"")</f>
        <v/>
      </c>
      <c r="E93" s="11" t="str">
        <f aca="false">IFERROR(INDEX('Master Leads'!$D$2:$D$201,MATCH(C93,'Master Leads'!$A$2:$A$201,0)),"")</f>
        <v/>
      </c>
      <c r="F93" s="11"/>
      <c r="G93" s="11"/>
      <c r="H93" s="11"/>
      <c r="I93" s="11"/>
      <c r="J93" s="11"/>
      <c r="K93" s="20"/>
      <c r="L93" s="11"/>
    </row>
    <row r="94" customFormat="false" ht="15" hidden="false" customHeight="false" outlineLevel="0" collapsed="false">
      <c r="A94" s="11"/>
      <c r="B94" s="20"/>
      <c r="C94" s="11"/>
      <c r="D94" s="11" t="str">
        <f aca="false">IFERROR(INDEX('Master Leads'!$B$2:$B$201,MATCH(C94,'Master Leads'!$A$2:$A$201,0)),"")</f>
        <v/>
      </c>
      <c r="E94" s="11" t="str">
        <f aca="false">IFERROR(INDEX('Master Leads'!$D$2:$D$201,MATCH(C94,'Master Leads'!$A$2:$A$201,0)),"")</f>
        <v/>
      </c>
      <c r="F94" s="11"/>
      <c r="G94" s="11"/>
      <c r="H94" s="11"/>
      <c r="I94" s="11"/>
      <c r="J94" s="11"/>
      <c r="K94" s="20"/>
      <c r="L94" s="11"/>
    </row>
    <row r="95" customFormat="false" ht="15" hidden="false" customHeight="false" outlineLevel="0" collapsed="false">
      <c r="A95" s="11"/>
      <c r="B95" s="20"/>
      <c r="C95" s="11"/>
      <c r="D95" s="11" t="str">
        <f aca="false">IFERROR(INDEX('Master Leads'!$B$2:$B$201,MATCH(C95,'Master Leads'!$A$2:$A$201,0)),"")</f>
        <v/>
      </c>
      <c r="E95" s="11" t="str">
        <f aca="false">IFERROR(INDEX('Master Leads'!$D$2:$D$201,MATCH(C95,'Master Leads'!$A$2:$A$201,0)),"")</f>
        <v/>
      </c>
      <c r="F95" s="11"/>
      <c r="G95" s="11"/>
      <c r="H95" s="11"/>
      <c r="I95" s="11"/>
      <c r="J95" s="11"/>
      <c r="K95" s="20"/>
      <c r="L95" s="11"/>
    </row>
    <row r="96" customFormat="false" ht="15" hidden="false" customHeight="false" outlineLevel="0" collapsed="false">
      <c r="A96" s="11"/>
      <c r="B96" s="20"/>
      <c r="C96" s="11"/>
      <c r="D96" s="11" t="str">
        <f aca="false">IFERROR(INDEX('Master Leads'!$B$2:$B$201,MATCH(C96,'Master Leads'!$A$2:$A$201,0)),"")</f>
        <v/>
      </c>
      <c r="E96" s="11" t="str">
        <f aca="false">IFERROR(INDEX('Master Leads'!$D$2:$D$201,MATCH(C96,'Master Leads'!$A$2:$A$201,0)),"")</f>
        <v/>
      </c>
      <c r="F96" s="11"/>
      <c r="G96" s="11"/>
      <c r="H96" s="11"/>
      <c r="I96" s="11"/>
      <c r="J96" s="11"/>
      <c r="K96" s="20"/>
      <c r="L96" s="11"/>
    </row>
    <row r="97" customFormat="false" ht="15" hidden="false" customHeight="false" outlineLevel="0" collapsed="false">
      <c r="A97" s="11"/>
      <c r="B97" s="20"/>
      <c r="C97" s="11"/>
      <c r="D97" s="11" t="str">
        <f aca="false">IFERROR(INDEX('Master Leads'!$B$2:$B$201,MATCH(C97,'Master Leads'!$A$2:$A$201,0)),"")</f>
        <v/>
      </c>
      <c r="E97" s="11" t="str">
        <f aca="false">IFERROR(INDEX('Master Leads'!$D$2:$D$201,MATCH(C97,'Master Leads'!$A$2:$A$201,0)),"")</f>
        <v/>
      </c>
      <c r="F97" s="11"/>
      <c r="G97" s="11"/>
      <c r="H97" s="11"/>
      <c r="I97" s="11"/>
      <c r="J97" s="11"/>
      <c r="K97" s="20"/>
      <c r="L97" s="11"/>
    </row>
    <row r="98" customFormat="false" ht="15" hidden="false" customHeight="false" outlineLevel="0" collapsed="false">
      <c r="A98" s="11"/>
      <c r="B98" s="20"/>
      <c r="C98" s="11"/>
      <c r="D98" s="11" t="str">
        <f aca="false">IFERROR(INDEX('Master Leads'!$B$2:$B$201,MATCH(C98,'Master Leads'!$A$2:$A$201,0)),"")</f>
        <v/>
      </c>
      <c r="E98" s="11" t="str">
        <f aca="false">IFERROR(INDEX('Master Leads'!$D$2:$D$201,MATCH(C98,'Master Leads'!$A$2:$A$201,0)),"")</f>
        <v/>
      </c>
      <c r="F98" s="11"/>
      <c r="G98" s="11"/>
      <c r="H98" s="11"/>
      <c r="I98" s="11"/>
      <c r="J98" s="11"/>
      <c r="K98" s="20"/>
      <c r="L98" s="11"/>
    </row>
    <row r="99" customFormat="false" ht="15" hidden="false" customHeight="false" outlineLevel="0" collapsed="false">
      <c r="A99" s="11"/>
      <c r="B99" s="20"/>
      <c r="C99" s="11"/>
      <c r="D99" s="11" t="str">
        <f aca="false">IFERROR(INDEX('Master Leads'!$B$2:$B$201,MATCH(C99,'Master Leads'!$A$2:$A$201,0)),"")</f>
        <v/>
      </c>
      <c r="E99" s="11" t="str">
        <f aca="false">IFERROR(INDEX('Master Leads'!$D$2:$D$201,MATCH(C99,'Master Leads'!$A$2:$A$201,0)),"")</f>
        <v/>
      </c>
      <c r="F99" s="11"/>
      <c r="G99" s="11"/>
      <c r="H99" s="11"/>
      <c r="I99" s="11"/>
      <c r="J99" s="11"/>
      <c r="K99" s="20"/>
      <c r="L99" s="11"/>
    </row>
    <row r="100" customFormat="false" ht="15" hidden="false" customHeight="false" outlineLevel="0" collapsed="false">
      <c r="A100" s="11"/>
      <c r="B100" s="20"/>
      <c r="C100" s="11"/>
      <c r="D100" s="11" t="str">
        <f aca="false">IFERROR(INDEX('Master Leads'!$B$2:$B$201,MATCH(C100,'Master Leads'!$A$2:$A$201,0)),"")</f>
        <v/>
      </c>
      <c r="E100" s="11" t="str">
        <f aca="false">IFERROR(INDEX('Master Leads'!$D$2:$D$201,MATCH(C100,'Master Leads'!$A$2:$A$201,0)),"")</f>
        <v/>
      </c>
      <c r="F100" s="11"/>
      <c r="G100" s="11"/>
      <c r="H100" s="11"/>
      <c r="I100" s="11"/>
      <c r="J100" s="11"/>
      <c r="K100" s="20"/>
      <c r="L100" s="11"/>
    </row>
    <row r="101" customFormat="false" ht="15" hidden="false" customHeight="false" outlineLevel="0" collapsed="false">
      <c r="A101" s="11"/>
      <c r="B101" s="20"/>
      <c r="C101" s="11"/>
      <c r="D101" s="11" t="str">
        <f aca="false">IFERROR(INDEX('Master Leads'!$B$2:$B$201,MATCH(C101,'Master Leads'!$A$2:$A$201,0)),"")</f>
        <v/>
      </c>
      <c r="E101" s="11" t="str">
        <f aca="false">IFERROR(INDEX('Master Leads'!$D$2:$D$201,MATCH(C101,'Master Leads'!$A$2:$A$201,0)),"")</f>
        <v/>
      </c>
      <c r="F101" s="11"/>
      <c r="G101" s="11"/>
      <c r="H101" s="11"/>
      <c r="I101" s="11"/>
      <c r="J101" s="11"/>
      <c r="K101" s="20"/>
      <c r="L101" s="11"/>
    </row>
    <row r="102" customFormat="false" ht="15" hidden="false" customHeight="false" outlineLevel="0" collapsed="false">
      <c r="A102" s="11"/>
      <c r="B102" s="20"/>
      <c r="C102" s="11"/>
      <c r="D102" s="11" t="str">
        <f aca="false">IFERROR(INDEX('Master Leads'!$B$2:$B$201,MATCH(C102,'Master Leads'!$A$2:$A$201,0)),"")</f>
        <v/>
      </c>
      <c r="E102" s="11" t="str">
        <f aca="false">IFERROR(INDEX('Master Leads'!$D$2:$D$201,MATCH(C102,'Master Leads'!$A$2:$A$201,0)),"")</f>
        <v/>
      </c>
      <c r="F102" s="11"/>
      <c r="G102" s="11"/>
      <c r="H102" s="11"/>
      <c r="I102" s="11"/>
      <c r="J102" s="11"/>
      <c r="K102" s="20"/>
      <c r="L102" s="11"/>
    </row>
    <row r="103" customFormat="false" ht="15" hidden="false" customHeight="false" outlineLevel="0" collapsed="false">
      <c r="A103" s="11"/>
      <c r="B103" s="20"/>
      <c r="C103" s="11"/>
      <c r="D103" s="11" t="str">
        <f aca="false">IFERROR(INDEX('Master Leads'!$B$2:$B$201,MATCH(C103,'Master Leads'!$A$2:$A$201,0)),"")</f>
        <v/>
      </c>
      <c r="E103" s="11" t="str">
        <f aca="false">IFERROR(INDEX('Master Leads'!$D$2:$D$201,MATCH(C103,'Master Leads'!$A$2:$A$201,0)),"")</f>
        <v/>
      </c>
      <c r="F103" s="11"/>
      <c r="G103" s="11"/>
      <c r="H103" s="11"/>
      <c r="I103" s="11"/>
      <c r="J103" s="11"/>
      <c r="K103" s="20"/>
      <c r="L103" s="11"/>
    </row>
    <row r="104" customFormat="false" ht="15" hidden="false" customHeight="false" outlineLevel="0" collapsed="false">
      <c r="A104" s="11"/>
      <c r="B104" s="20"/>
      <c r="C104" s="11"/>
      <c r="D104" s="11" t="str">
        <f aca="false">IFERROR(INDEX('Master Leads'!$B$2:$B$201,MATCH(C104,'Master Leads'!$A$2:$A$201,0)),"")</f>
        <v/>
      </c>
      <c r="E104" s="11" t="str">
        <f aca="false">IFERROR(INDEX('Master Leads'!$D$2:$D$201,MATCH(C104,'Master Leads'!$A$2:$A$201,0)),"")</f>
        <v/>
      </c>
      <c r="F104" s="11"/>
      <c r="G104" s="11"/>
      <c r="H104" s="11"/>
      <c r="I104" s="11"/>
      <c r="J104" s="11"/>
      <c r="K104" s="20"/>
      <c r="L104" s="11"/>
    </row>
    <row r="105" customFormat="false" ht="15" hidden="false" customHeight="false" outlineLevel="0" collapsed="false">
      <c r="A105" s="11"/>
      <c r="B105" s="20"/>
      <c r="C105" s="11"/>
      <c r="D105" s="11" t="str">
        <f aca="false">IFERROR(INDEX('Master Leads'!$B$2:$B$201,MATCH(C105,'Master Leads'!$A$2:$A$201,0)),"")</f>
        <v/>
      </c>
      <c r="E105" s="11" t="str">
        <f aca="false">IFERROR(INDEX('Master Leads'!$D$2:$D$201,MATCH(C105,'Master Leads'!$A$2:$A$201,0)),"")</f>
        <v/>
      </c>
      <c r="F105" s="11"/>
      <c r="G105" s="11"/>
      <c r="H105" s="11"/>
      <c r="I105" s="11"/>
      <c r="J105" s="11"/>
      <c r="K105" s="20"/>
      <c r="L105" s="11"/>
    </row>
    <row r="106" customFormat="false" ht="15" hidden="false" customHeight="false" outlineLevel="0" collapsed="false">
      <c r="A106" s="11"/>
      <c r="B106" s="20"/>
      <c r="C106" s="11"/>
      <c r="D106" s="11" t="str">
        <f aca="false">IFERROR(INDEX('Master Leads'!$B$2:$B$201,MATCH(C106,'Master Leads'!$A$2:$A$201,0)),"")</f>
        <v/>
      </c>
      <c r="E106" s="11" t="str">
        <f aca="false">IFERROR(INDEX('Master Leads'!$D$2:$D$201,MATCH(C106,'Master Leads'!$A$2:$A$201,0)),"")</f>
        <v/>
      </c>
      <c r="F106" s="11"/>
      <c r="G106" s="11"/>
      <c r="H106" s="11"/>
      <c r="I106" s="11"/>
      <c r="J106" s="11"/>
      <c r="K106" s="20"/>
      <c r="L106" s="11"/>
    </row>
    <row r="107" customFormat="false" ht="15" hidden="false" customHeight="false" outlineLevel="0" collapsed="false">
      <c r="A107" s="11"/>
      <c r="B107" s="20"/>
      <c r="C107" s="11"/>
      <c r="D107" s="11" t="str">
        <f aca="false">IFERROR(INDEX('Master Leads'!$B$2:$B$201,MATCH(C107,'Master Leads'!$A$2:$A$201,0)),"")</f>
        <v/>
      </c>
      <c r="E107" s="11" t="str">
        <f aca="false">IFERROR(INDEX('Master Leads'!$D$2:$D$201,MATCH(C107,'Master Leads'!$A$2:$A$201,0)),"")</f>
        <v/>
      </c>
      <c r="F107" s="11"/>
      <c r="G107" s="11"/>
      <c r="H107" s="11"/>
      <c r="I107" s="11"/>
      <c r="J107" s="11"/>
      <c r="K107" s="20"/>
      <c r="L107" s="11"/>
    </row>
    <row r="108" customFormat="false" ht="15" hidden="false" customHeight="false" outlineLevel="0" collapsed="false">
      <c r="A108" s="11"/>
      <c r="B108" s="20"/>
      <c r="C108" s="11"/>
      <c r="D108" s="11" t="str">
        <f aca="false">IFERROR(INDEX('Master Leads'!$B$2:$B$201,MATCH(C108,'Master Leads'!$A$2:$A$201,0)),"")</f>
        <v/>
      </c>
      <c r="E108" s="11" t="str">
        <f aca="false">IFERROR(INDEX('Master Leads'!$D$2:$D$201,MATCH(C108,'Master Leads'!$A$2:$A$201,0)),"")</f>
        <v/>
      </c>
      <c r="F108" s="11"/>
      <c r="G108" s="11"/>
      <c r="H108" s="11"/>
      <c r="I108" s="11"/>
      <c r="J108" s="11"/>
      <c r="K108" s="20"/>
      <c r="L108" s="11"/>
    </row>
    <row r="109" customFormat="false" ht="15" hidden="false" customHeight="false" outlineLevel="0" collapsed="false">
      <c r="A109" s="11"/>
      <c r="B109" s="20"/>
      <c r="C109" s="11"/>
      <c r="D109" s="11" t="str">
        <f aca="false">IFERROR(INDEX('Master Leads'!$B$2:$B$201,MATCH(C109,'Master Leads'!$A$2:$A$201,0)),"")</f>
        <v/>
      </c>
      <c r="E109" s="11" t="str">
        <f aca="false">IFERROR(INDEX('Master Leads'!$D$2:$D$201,MATCH(C109,'Master Leads'!$A$2:$A$201,0)),"")</f>
        <v/>
      </c>
      <c r="F109" s="11"/>
      <c r="G109" s="11"/>
      <c r="H109" s="11"/>
      <c r="I109" s="11"/>
      <c r="J109" s="11"/>
      <c r="K109" s="20"/>
      <c r="L109" s="11"/>
    </row>
    <row r="110" customFormat="false" ht="15" hidden="false" customHeight="false" outlineLevel="0" collapsed="false">
      <c r="A110" s="11"/>
      <c r="B110" s="20"/>
      <c r="C110" s="11"/>
      <c r="D110" s="11" t="str">
        <f aca="false">IFERROR(INDEX('Master Leads'!$B$2:$B$201,MATCH(C110,'Master Leads'!$A$2:$A$201,0)),"")</f>
        <v/>
      </c>
      <c r="E110" s="11" t="str">
        <f aca="false">IFERROR(INDEX('Master Leads'!$D$2:$D$201,MATCH(C110,'Master Leads'!$A$2:$A$201,0)),"")</f>
        <v/>
      </c>
      <c r="F110" s="11"/>
      <c r="G110" s="11"/>
      <c r="H110" s="11"/>
      <c r="I110" s="11"/>
      <c r="J110" s="11"/>
      <c r="K110" s="20"/>
      <c r="L110" s="11"/>
    </row>
    <row r="111" customFormat="false" ht="15" hidden="false" customHeight="false" outlineLevel="0" collapsed="false">
      <c r="A111" s="11"/>
      <c r="B111" s="20"/>
      <c r="C111" s="11"/>
      <c r="D111" s="11" t="str">
        <f aca="false">IFERROR(INDEX('Master Leads'!$B$2:$B$201,MATCH(C111,'Master Leads'!$A$2:$A$201,0)),"")</f>
        <v/>
      </c>
      <c r="E111" s="11" t="str">
        <f aca="false">IFERROR(INDEX('Master Leads'!$D$2:$D$201,MATCH(C111,'Master Leads'!$A$2:$A$201,0)),"")</f>
        <v/>
      </c>
      <c r="F111" s="11"/>
      <c r="G111" s="11"/>
      <c r="H111" s="11"/>
      <c r="I111" s="11"/>
      <c r="J111" s="11"/>
      <c r="K111" s="20"/>
      <c r="L111" s="11"/>
    </row>
    <row r="112" customFormat="false" ht="15" hidden="false" customHeight="false" outlineLevel="0" collapsed="false">
      <c r="A112" s="11"/>
      <c r="B112" s="20"/>
      <c r="C112" s="11"/>
      <c r="D112" s="11" t="str">
        <f aca="false">IFERROR(INDEX('Master Leads'!$B$2:$B$201,MATCH(C112,'Master Leads'!$A$2:$A$201,0)),"")</f>
        <v/>
      </c>
      <c r="E112" s="11" t="str">
        <f aca="false">IFERROR(INDEX('Master Leads'!$D$2:$D$201,MATCH(C112,'Master Leads'!$A$2:$A$201,0)),"")</f>
        <v/>
      </c>
      <c r="F112" s="11"/>
      <c r="G112" s="11"/>
      <c r="H112" s="11"/>
      <c r="I112" s="11"/>
      <c r="J112" s="11"/>
      <c r="K112" s="20"/>
      <c r="L112" s="11"/>
    </row>
    <row r="113" customFormat="false" ht="15" hidden="false" customHeight="false" outlineLevel="0" collapsed="false">
      <c r="A113" s="11"/>
      <c r="B113" s="20"/>
      <c r="C113" s="11"/>
      <c r="D113" s="11" t="str">
        <f aca="false">IFERROR(INDEX('Master Leads'!$B$2:$B$201,MATCH(C113,'Master Leads'!$A$2:$A$201,0)),"")</f>
        <v/>
      </c>
      <c r="E113" s="11" t="str">
        <f aca="false">IFERROR(INDEX('Master Leads'!$D$2:$D$201,MATCH(C113,'Master Leads'!$A$2:$A$201,0)),"")</f>
        <v/>
      </c>
      <c r="F113" s="11"/>
      <c r="G113" s="11"/>
      <c r="H113" s="11"/>
      <c r="I113" s="11"/>
      <c r="J113" s="11"/>
      <c r="K113" s="20"/>
      <c r="L113" s="11"/>
    </row>
    <row r="114" customFormat="false" ht="15" hidden="false" customHeight="false" outlineLevel="0" collapsed="false">
      <c r="A114" s="11"/>
      <c r="B114" s="20"/>
      <c r="C114" s="11"/>
      <c r="D114" s="11" t="str">
        <f aca="false">IFERROR(INDEX('Master Leads'!$B$2:$B$201,MATCH(C114,'Master Leads'!$A$2:$A$201,0)),"")</f>
        <v/>
      </c>
      <c r="E114" s="11" t="str">
        <f aca="false">IFERROR(INDEX('Master Leads'!$D$2:$D$201,MATCH(C114,'Master Leads'!$A$2:$A$201,0)),"")</f>
        <v/>
      </c>
      <c r="F114" s="11"/>
      <c r="G114" s="11"/>
      <c r="H114" s="11"/>
      <c r="I114" s="11"/>
      <c r="J114" s="11"/>
      <c r="K114" s="20"/>
      <c r="L114" s="11"/>
    </row>
    <row r="115" customFormat="false" ht="15" hidden="false" customHeight="false" outlineLevel="0" collapsed="false">
      <c r="A115" s="11"/>
      <c r="B115" s="20"/>
      <c r="C115" s="11"/>
      <c r="D115" s="11" t="str">
        <f aca="false">IFERROR(INDEX('Master Leads'!$B$2:$B$201,MATCH(C115,'Master Leads'!$A$2:$A$201,0)),"")</f>
        <v/>
      </c>
      <c r="E115" s="11" t="str">
        <f aca="false">IFERROR(INDEX('Master Leads'!$D$2:$D$201,MATCH(C115,'Master Leads'!$A$2:$A$201,0)),"")</f>
        <v/>
      </c>
      <c r="F115" s="11"/>
      <c r="G115" s="11"/>
      <c r="H115" s="11"/>
      <c r="I115" s="11"/>
      <c r="J115" s="11"/>
      <c r="K115" s="20"/>
      <c r="L115" s="11"/>
    </row>
    <row r="116" customFormat="false" ht="15" hidden="false" customHeight="false" outlineLevel="0" collapsed="false">
      <c r="A116" s="11"/>
      <c r="B116" s="20"/>
      <c r="C116" s="11"/>
      <c r="D116" s="11" t="str">
        <f aca="false">IFERROR(INDEX('Master Leads'!$B$2:$B$201,MATCH(C116,'Master Leads'!$A$2:$A$201,0)),"")</f>
        <v/>
      </c>
      <c r="E116" s="11" t="str">
        <f aca="false">IFERROR(INDEX('Master Leads'!$D$2:$D$201,MATCH(C116,'Master Leads'!$A$2:$A$201,0)),"")</f>
        <v/>
      </c>
      <c r="F116" s="11"/>
      <c r="G116" s="11"/>
      <c r="H116" s="11"/>
      <c r="I116" s="11"/>
      <c r="J116" s="11"/>
      <c r="K116" s="20"/>
      <c r="L116" s="11"/>
    </row>
    <row r="117" customFormat="false" ht="15" hidden="false" customHeight="false" outlineLevel="0" collapsed="false">
      <c r="A117" s="11"/>
      <c r="B117" s="20"/>
      <c r="C117" s="11"/>
      <c r="D117" s="11" t="str">
        <f aca="false">IFERROR(INDEX('Master Leads'!$B$2:$B$201,MATCH(C117,'Master Leads'!$A$2:$A$201,0)),"")</f>
        <v/>
      </c>
      <c r="E117" s="11" t="str">
        <f aca="false">IFERROR(INDEX('Master Leads'!$D$2:$D$201,MATCH(C117,'Master Leads'!$A$2:$A$201,0)),"")</f>
        <v/>
      </c>
      <c r="F117" s="11"/>
      <c r="G117" s="11"/>
      <c r="H117" s="11"/>
      <c r="I117" s="11"/>
      <c r="J117" s="11"/>
      <c r="K117" s="20"/>
      <c r="L117" s="11"/>
    </row>
    <row r="118" customFormat="false" ht="15" hidden="false" customHeight="false" outlineLevel="0" collapsed="false">
      <c r="A118" s="11"/>
      <c r="B118" s="20"/>
      <c r="C118" s="11"/>
      <c r="D118" s="11" t="str">
        <f aca="false">IFERROR(INDEX('Master Leads'!$B$2:$B$201,MATCH(C118,'Master Leads'!$A$2:$A$201,0)),"")</f>
        <v/>
      </c>
      <c r="E118" s="11" t="str">
        <f aca="false">IFERROR(INDEX('Master Leads'!$D$2:$D$201,MATCH(C118,'Master Leads'!$A$2:$A$201,0)),"")</f>
        <v/>
      </c>
      <c r="F118" s="11"/>
      <c r="G118" s="11"/>
      <c r="H118" s="11"/>
      <c r="I118" s="11"/>
      <c r="J118" s="11"/>
      <c r="K118" s="20"/>
      <c r="L118" s="11"/>
    </row>
    <row r="119" customFormat="false" ht="15" hidden="false" customHeight="false" outlineLevel="0" collapsed="false">
      <c r="A119" s="11"/>
      <c r="B119" s="20"/>
      <c r="C119" s="11"/>
      <c r="D119" s="11" t="str">
        <f aca="false">IFERROR(INDEX('Master Leads'!$B$2:$B$201,MATCH(C119,'Master Leads'!$A$2:$A$201,0)),"")</f>
        <v/>
      </c>
      <c r="E119" s="11" t="str">
        <f aca="false">IFERROR(INDEX('Master Leads'!$D$2:$D$201,MATCH(C119,'Master Leads'!$A$2:$A$201,0)),"")</f>
        <v/>
      </c>
      <c r="F119" s="11"/>
      <c r="G119" s="11"/>
      <c r="H119" s="11"/>
      <c r="I119" s="11"/>
      <c r="J119" s="11"/>
      <c r="K119" s="20"/>
      <c r="L119" s="11"/>
    </row>
    <row r="120" customFormat="false" ht="15" hidden="false" customHeight="false" outlineLevel="0" collapsed="false">
      <c r="A120" s="11"/>
      <c r="B120" s="20"/>
      <c r="C120" s="11"/>
      <c r="D120" s="11" t="str">
        <f aca="false">IFERROR(INDEX('Master Leads'!$B$2:$B$201,MATCH(C120,'Master Leads'!$A$2:$A$201,0)),"")</f>
        <v/>
      </c>
      <c r="E120" s="11" t="str">
        <f aca="false">IFERROR(INDEX('Master Leads'!$D$2:$D$201,MATCH(C120,'Master Leads'!$A$2:$A$201,0)),"")</f>
        <v/>
      </c>
      <c r="F120" s="11"/>
      <c r="G120" s="11"/>
      <c r="H120" s="11"/>
      <c r="I120" s="11"/>
      <c r="J120" s="11"/>
      <c r="K120" s="20"/>
      <c r="L120" s="11"/>
    </row>
    <row r="121" customFormat="false" ht="15" hidden="false" customHeight="false" outlineLevel="0" collapsed="false">
      <c r="A121" s="11"/>
      <c r="B121" s="20"/>
      <c r="C121" s="11"/>
      <c r="D121" s="11" t="str">
        <f aca="false">IFERROR(INDEX('Master Leads'!$B$2:$B$201,MATCH(C121,'Master Leads'!$A$2:$A$201,0)),"")</f>
        <v/>
      </c>
      <c r="E121" s="11" t="str">
        <f aca="false">IFERROR(INDEX('Master Leads'!$D$2:$D$201,MATCH(C121,'Master Leads'!$A$2:$A$201,0)),"")</f>
        <v/>
      </c>
      <c r="F121" s="11"/>
      <c r="G121" s="11"/>
      <c r="H121" s="11"/>
      <c r="I121" s="11"/>
      <c r="J121" s="11"/>
      <c r="K121" s="20"/>
      <c r="L121" s="11"/>
    </row>
    <row r="122" customFormat="false" ht="15" hidden="false" customHeight="false" outlineLevel="0" collapsed="false">
      <c r="A122" s="11"/>
      <c r="B122" s="20"/>
      <c r="C122" s="11"/>
      <c r="D122" s="11" t="str">
        <f aca="false">IFERROR(INDEX('Master Leads'!$B$2:$B$201,MATCH(C122,'Master Leads'!$A$2:$A$201,0)),"")</f>
        <v/>
      </c>
      <c r="E122" s="11" t="str">
        <f aca="false">IFERROR(INDEX('Master Leads'!$D$2:$D$201,MATCH(C122,'Master Leads'!$A$2:$A$201,0)),"")</f>
        <v/>
      </c>
      <c r="F122" s="11"/>
      <c r="G122" s="11"/>
      <c r="H122" s="11"/>
      <c r="I122" s="11"/>
      <c r="J122" s="11"/>
      <c r="K122" s="20"/>
      <c r="L122" s="11"/>
    </row>
    <row r="123" customFormat="false" ht="15" hidden="false" customHeight="false" outlineLevel="0" collapsed="false">
      <c r="A123" s="11"/>
      <c r="B123" s="20"/>
      <c r="C123" s="11"/>
      <c r="D123" s="11" t="str">
        <f aca="false">IFERROR(INDEX('Master Leads'!$B$2:$B$201,MATCH(C123,'Master Leads'!$A$2:$A$201,0)),"")</f>
        <v/>
      </c>
      <c r="E123" s="11" t="str">
        <f aca="false">IFERROR(INDEX('Master Leads'!$D$2:$D$201,MATCH(C123,'Master Leads'!$A$2:$A$201,0)),"")</f>
        <v/>
      </c>
      <c r="F123" s="11"/>
      <c r="G123" s="11"/>
      <c r="H123" s="11"/>
      <c r="I123" s="11"/>
      <c r="J123" s="11"/>
      <c r="K123" s="20"/>
      <c r="L123" s="11"/>
    </row>
    <row r="124" customFormat="false" ht="15" hidden="false" customHeight="false" outlineLevel="0" collapsed="false">
      <c r="A124" s="11"/>
      <c r="B124" s="20"/>
      <c r="C124" s="11"/>
      <c r="D124" s="11" t="str">
        <f aca="false">IFERROR(INDEX('Master Leads'!$B$2:$B$201,MATCH(C124,'Master Leads'!$A$2:$A$201,0)),"")</f>
        <v/>
      </c>
      <c r="E124" s="11" t="str">
        <f aca="false">IFERROR(INDEX('Master Leads'!$D$2:$D$201,MATCH(C124,'Master Leads'!$A$2:$A$201,0)),"")</f>
        <v/>
      </c>
      <c r="F124" s="11"/>
      <c r="G124" s="11"/>
      <c r="H124" s="11"/>
      <c r="I124" s="11"/>
      <c r="J124" s="11"/>
      <c r="K124" s="20"/>
      <c r="L124" s="11"/>
    </row>
    <row r="125" customFormat="false" ht="15" hidden="false" customHeight="false" outlineLevel="0" collapsed="false">
      <c r="A125" s="11"/>
      <c r="B125" s="20"/>
      <c r="C125" s="11"/>
      <c r="D125" s="11" t="str">
        <f aca="false">IFERROR(INDEX('Master Leads'!$B$2:$B$201,MATCH(C125,'Master Leads'!$A$2:$A$201,0)),"")</f>
        <v/>
      </c>
      <c r="E125" s="11" t="str">
        <f aca="false">IFERROR(INDEX('Master Leads'!$D$2:$D$201,MATCH(C125,'Master Leads'!$A$2:$A$201,0)),"")</f>
        <v/>
      </c>
      <c r="F125" s="11"/>
      <c r="G125" s="11"/>
      <c r="H125" s="11"/>
      <c r="I125" s="11"/>
      <c r="J125" s="11"/>
      <c r="K125" s="20"/>
      <c r="L125" s="11"/>
    </row>
    <row r="126" customFormat="false" ht="15" hidden="false" customHeight="false" outlineLevel="0" collapsed="false">
      <c r="A126" s="11"/>
      <c r="B126" s="20"/>
      <c r="C126" s="11"/>
      <c r="D126" s="11" t="str">
        <f aca="false">IFERROR(INDEX('Master Leads'!$B$2:$B$201,MATCH(C126,'Master Leads'!$A$2:$A$201,0)),"")</f>
        <v/>
      </c>
      <c r="E126" s="11" t="str">
        <f aca="false">IFERROR(INDEX('Master Leads'!$D$2:$D$201,MATCH(C126,'Master Leads'!$A$2:$A$201,0)),"")</f>
        <v/>
      </c>
      <c r="F126" s="11"/>
      <c r="G126" s="11"/>
      <c r="H126" s="11"/>
      <c r="I126" s="11"/>
      <c r="J126" s="11"/>
      <c r="K126" s="20"/>
      <c r="L126" s="11"/>
    </row>
    <row r="127" customFormat="false" ht="15" hidden="false" customHeight="false" outlineLevel="0" collapsed="false">
      <c r="A127" s="11"/>
      <c r="B127" s="20"/>
      <c r="C127" s="11"/>
      <c r="D127" s="11" t="str">
        <f aca="false">IFERROR(INDEX('Master Leads'!$B$2:$B$201,MATCH(C127,'Master Leads'!$A$2:$A$201,0)),"")</f>
        <v/>
      </c>
      <c r="E127" s="11" t="str">
        <f aca="false">IFERROR(INDEX('Master Leads'!$D$2:$D$201,MATCH(C127,'Master Leads'!$A$2:$A$201,0)),"")</f>
        <v/>
      </c>
      <c r="F127" s="11"/>
      <c r="G127" s="11"/>
      <c r="H127" s="11"/>
      <c r="I127" s="11"/>
      <c r="J127" s="11"/>
      <c r="K127" s="20"/>
      <c r="L127" s="11"/>
    </row>
    <row r="128" customFormat="false" ht="15" hidden="false" customHeight="false" outlineLevel="0" collapsed="false">
      <c r="A128" s="11"/>
      <c r="B128" s="20"/>
      <c r="C128" s="11"/>
      <c r="D128" s="11" t="str">
        <f aca="false">IFERROR(INDEX('Master Leads'!$B$2:$B$201,MATCH(C128,'Master Leads'!$A$2:$A$201,0)),"")</f>
        <v/>
      </c>
      <c r="E128" s="11" t="str">
        <f aca="false">IFERROR(INDEX('Master Leads'!$D$2:$D$201,MATCH(C128,'Master Leads'!$A$2:$A$201,0)),"")</f>
        <v/>
      </c>
      <c r="F128" s="11"/>
      <c r="G128" s="11"/>
      <c r="H128" s="11"/>
      <c r="I128" s="11"/>
      <c r="J128" s="11"/>
      <c r="K128" s="20"/>
      <c r="L128" s="11"/>
    </row>
    <row r="129" customFormat="false" ht="15" hidden="false" customHeight="false" outlineLevel="0" collapsed="false">
      <c r="A129" s="11"/>
      <c r="B129" s="20"/>
      <c r="C129" s="11"/>
      <c r="D129" s="11" t="str">
        <f aca="false">IFERROR(INDEX('Master Leads'!$B$2:$B$201,MATCH(C129,'Master Leads'!$A$2:$A$201,0)),"")</f>
        <v/>
      </c>
      <c r="E129" s="11" t="str">
        <f aca="false">IFERROR(INDEX('Master Leads'!$D$2:$D$201,MATCH(C129,'Master Leads'!$A$2:$A$201,0)),"")</f>
        <v/>
      </c>
      <c r="F129" s="11"/>
      <c r="G129" s="11"/>
      <c r="H129" s="11"/>
      <c r="I129" s="11"/>
      <c r="J129" s="11"/>
      <c r="K129" s="20"/>
      <c r="L129" s="11"/>
    </row>
    <row r="130" customFormat="false" ht="15" hidden="false" customHeight="false" outlineLevel="0" collapsed="false">
      <c r="A130" s="11"/>
      <c r="B130" s="20"/>
      <c r="C130" s="11"/>
      <c r="D130" s="11" t="str">
        <f aca="false">IFERROR(INDEX('Master Leads'!$B$2:$B$201,MATCH(C130,'Master Leads'!$A$2:$A$201,0)),"")</f>
        <v/>
      </c>
      <c r="E130" s="11" t="str">
        <f aca="false">IFERROR(INDEX('Master Leads'!$D$2:$D$201,MATCH(C130,'Master Leads'!$A$2:$A$201,0)),"")</f>
        <v/>
      </c>
      <c r="F130" s="11"/>
      <c r="G130" s="11"/>
      <c r="H130" s="11"/>
      <c r="I130" s="11"/>
      <c r="J130" s="11"/>
      <c r="K130" s="20"/>
      <c r="L130" s="11"/>
    </row>
    <row r="131" customFormat="false" ht="15" hidden="false" customHeight="false" outlineLevel="0" collapsed="false">
      <c r="A131" s="11"/>
      <c r="B131" s="20"/>
      <c r="C131" s="11"/>
      <c r="D131" s="11" t="str">
        <f aca="false">IFERROR(INDEX('Master Leads'!$B$2:$B$201,MATCH(C131,'Master Leads'!$A$2:$A$201,0)),"")</f>
        <v/>
      </c>
      <c r="E131" s="11" t="str">
        <f aca="false">IFERROR(INDEX('Master Leads'!$D$2:$D$201,MATCH(C131,'Master Leads'!$A$2:$A$201,0)),"")</f>
        <v/>
      </c>
      <c r="F131" s="11"/>
      <c r="G131" s="11"/>
      <c r="H131" s="11"/>
      <c r="I131" s="11"/>
      <c r="J131" s="11"/>
      <c r="K131" s="20"/>
      <c r="L131" s="11"/>
    </row>
    <row r="132" customFormat="false" ht="15" hidden="false" customHeight="false" outlineLevel="0" collapsed="false">
      <c r="A132" s="11"/>
      <c r="B132" s="20"/>
      <c r="C132" s="11"/>
      <c r="D132" s="11" t="str">
        <f aca="false">IFERROR(INDEX('Master Leads'!$B$2:$B$201,MATCH(C132,'Master Leads'!$A$2:$A$201,0)),"")</f>
        <v/>
      </c>
      <c r="E132" s="11" t="str">
        <f aca="false">IFERROR(INDEX('Master Leads'!$D$2:$D$201,MATCH(C132,'Master Leads'!$A$2:$A$201,0)),"")</f>
        <v/>
      </c>
      <c r="F132" s="11"/>
      <c r="G132" s="11"/>
      <c r="H132" s="11"/>
      <c r="I132" s="11"/>
      <c r="J132" s="11"/>
      <c r="K132" s="20"/>
      <c r="L132" s="11"/>
    </row>
    <row r="133" customFormat="false" ht="15" hidden="false" customHeight="false" outlineLevel="0" collapsed="false">
      <c r="A133" s="11"/>
      <c r="B133" s="20"/>
      <c r="C133" s="11"/>
      <c r="D133" s="11" t="str">
        <f aca="false">IFERROR(INDEX('Master Leads'!$B$2:$B$201,MATCH(C133,'Master Leads'!$A$2:$A$201,0)),"")</f>
        <v/>
      </c>
      <c r="E133" s="11" t="str">
        <f aca="false">IFERROR(INDEX('Master Leads'!$D$2:$D$201,MATCH(C133,'Master Leads'!$A$2:$A$201,0)),"")</f>
        <v/>
      </c>
      <c r="F133" s="11"/>
      <c r="G133" s="11"/>
      <c r="H133" s="11"/>
      <c r="I133" s="11"/>
      <c r="J133" s="11"/>
      <c r="K133" s="20"/>
      <c r="L133" s="11"/>
    </row>
    <row r="134" customFormat="false" ht="15" hidden="false" customHeight="false" outlineLevel="0" collapsed="false">
      <c r="A134" s="11"/>
      <c r="B134" s="20"/>
      <c r="C134" s="11"/>
      <c r="D134" s="11" t="str">
        <f aca="false">IFERROR(INDEX('Master Leads'!$B$2:$B$201,MATCH(C134,'Master Leads'!$A$2:$A$201,0)),"")</f>
        <v/>
      </c>
      <c r="E134" s="11" t="str">
        <f aca="false">IFERROR(INDEX('Master Leads'!$D$2:$D$201,MATCH(C134,'Master Leads'!$A$2:$A$201,0)),"")</f>
        <v/>
      </c>
      <c r="F134" s="11"/>
      <c r="G134" s="11"/>
      <c r="H134" s="11"/>
      <c r="I134" s="11"/>
      <c r="J134" s="11"/>
      <c r="K134" s="20"/>
      <c r="L134" s="11"/>
    </row>
    <row r="135" customFormat="false" ht="15" hidden="false" customHeight="false" outlineLevel="0" collapsed="false">
      <c r="A135" s="11"/>
      <c r="B135" s="20"/>
      <c r="C135" s="11"/>
      <c r="D135" s="11" t="str">
        <f aca="false">IFERROR(INDEX('Master Leads'!$B$2:$B$201,MATCH(C135,'Master Leads'!$A$2:$A$201,0)),"")</f>
        <v/>
      </c>
      <c r="E135" s="11" t="str">
        <f aca="false">IFERROR(INDEX('Master Leads'!$D$2:$D$201,MATCH(C135,'Master Leads'!$A$2:$A$201,0)),"")</f>
        <v/>
      </c>
      <c r="F135" s="11"/>
      <c r="G135" s="11"/>
      <c r="H135" s="11"/>
      <c r="I135" s="11"/>
      <c r="J135" s="11"/>
      <c r="K135" s="20"/>
      <c r="L135" s="11"/>
    </row>
    <row r="136" customFormat="false" ht="15" hidden="false" customHeight="false" outlineLevel="0" collapsed="false">
      <c r="A136" s="11"/>
      <c r="B136" s="20"/>
      <c r="C136" s="11"/>
      <c r="D136" s="11" t="str">
        <f aca="false">IFERROR(INDEX('Master Leads'!$B$2:$B$201,MATCH(C136,'Master Leads'!$A$2:$A$201,0)),"")</f>
        <v/>
      </c>
      <c r="E136" s="11" t="str">
        <f aca="false">IFERROR(INDEX('Master Leads'!$D$2:$D$201,MATCH(C136,'Master Leads'!$A$2:$A$201,0)),"")</f>
        <v/>
      </c>
      <c r="F136" s="11"/>
      <c r="G136" s="11"/>
      <c r="H136" s="11"/>
      <c r="I136" s="11"/>
      <c r="J136" s="11"/>
      <c r="K136" s="20"/>
      <c r="L136" s="11"/>
    </row>
    <row r="137" customFormat="false" ht="15" hidden="false" customHeight="false" outlineLevel="0" collapsed="false">
      <c r="A137" s="11"/>
      <c r="B137" s="20"/>
      <c r="C137" s="11"/>
      <c r="D137" s="11" t="str">
        <f aca="false">IFERROR(INDEX('Master Leads'!$B$2:$B$201,MATCH(C137,'Master Leads'!$A$2:$A$201,0)),"")</f>
        <v/>
      </c>
      <c r="E137" s="11" t="str">
        <f aca="false">IFERROR(INDEX('Master Leads'!$D$2:$D$201,MATCH(C137,'Master Leads'!$A$2:$A$201,0)),"")</f>
        <v/>
      </c>
      <c r="F137" s="11"/>
      <c r="G137" s="11"/>
      <c r="H137" s="11"/>
      <c r="I137" s="11"/>
      <c r="J137" s="11"/>
      <c r="K137" s="20"/>
      <c r="L137" s="11"/>
    </row>
    <row r="138" customFormat="false" ht="15" hidden="false" customHeight="false" outlineLevel="0" collapsed="false">
      <c r="A138" s="11"/>
      <c r="B138" s="20"/>
      <c r="C138" s="11"/>
      <c r="D138" s="11" t="str">
        <f aca="false">IFERROR(INDEX('Master Leads'!$B$2:$B$201,MATCH(C138,'Master Leads'!$A$2:$A$201,0)),"")</f>
        <v/>
      </c>
      <c r="E138" s="11" t="str">
        <f aca="false">IFERROR(INDEX('Master Leads'!$D$2:$D$201,MATCH(C138,'Master Leads'!$A$2:$A$201,0)),"")</f>
        <v/>
      </c>
      <c r="F138" s="11"/>
      <c r="G138" s="11"/>
      <c r="H138" s="11"/>
      <c r="I138" s="11"/>
      <c r="J138" s="11"/>
      <c r="K138" s="20"/>
      <c r="L138" s="11"/>
    </row>
    <row r="139" customFormat="false" ht="15" hidden="false" customHeight="false" outlineLevel="0" collapsed="false">
      <c r="A139" s="11"/>
      <c r="B139" s="20"/>
      <c r="C139" s="11"/>
      <c r="D139" s="11" t="str">
        <f aca="false">IFERROR(INDEX('Master Leads'!$B$2:$B$201,MATCH(C139,'Master Leads'!$A$2:$A$201,0)),"")</f>
        <v/>
      </c>
      <c r="E139" s="11" t="str">
        <f aca="false">IFERROR(INDEX('Master Leads'!$D$2:$D$201,MATCH(C139,'Master Leads'!$A$2:$A$201,0)),"")</f>
        <v/>
      </c>
      <c r="F139" s="11"/>
      <c r="G139" s="11"/>
      <c r="H139" s="11"/>
      <c r="I139" s="11"/>
      <c r="J139" s="11"/>
      <c r="K139" s="20"/>
      <c r="L139" s="11"/>
    </row>
    <row r="140" customFormat="false" ht="15" hidden="false" customHeight="false" outlineLevel="0" collapsed="false">
      <c r="A140" s="11"/>
      <c r="B140" s="20"/>
      <c r="C140" s="11"/>
      <c r="D140" s="11" t="str">
        <f aca="false">IFERROR(INDEX('Master Leads'!$B$2:$B$201,MATCH(C140,'Master Leads'!$A$2:$A$201,0)),"")</f>
        <v/>
      </c>
      <c r="E140" s="11" t="str">
        <f aca="false">IFERROR(INDEX('Master Leads'!$D$2:$D$201,MATCH(C140,'Master Leads'!$A$2:$A$201,0)),"")</f>
        <v/>
      </c>
      <c r="F140" s="11"/>
      <c r="G140" s="11"/>
      <c r="H140" s="11"/>
      <c r="I140" s="11"/>
      <c r="J140" s="11"/>
      <c r="K140" s="20"/>
      <c r="L140" s="11"/>
    </row>
    <row r="141" customFormat="false" ht="15" hidden="false" customHeight="false" outlineLevel="0" collapsed="false">
      <c r="A141" s="11"/>
      <c r="B141" s="20"/>
      <c r="C141" s="11"/>
      <c r="D141" s="11" t="str">
        <f aca="false">IFERROR(INDEX('Master Leads'!$B$2:$B$201,MATCH(C141,'Master Leads'!$A$2:$A$201,0)),"")</f>
        <v/>
      </c>
      <c r="E141" s="11" t="str">
        <f aca="false">IFERROR(INDEX('Master Leads'!$D$2:$D$201,MATCH(C141,'Master Leads'!$A$2:$A$201,0)),"")</f>
        <v/>
      </c>
      <c r="F141" s="11"/>
      <c r="G141" s="11"/>
      <c r="H141" s="11"/>
      <c r="I141" s="11"/>
      <c r="J141" s="11"/>
      <c r="K141" s="20"/>
      <c r="L141" s="11"/>
    </row>
    <row r="142" customFormat="false" ht="15" hidden="false" customHeight="false" outlineLevel="0" collapsed="false">
      <c r="A142" s="11"/>
      <c r="B142" s="20"/>
      <c r="C142" s="11"/>
      <c r="D142" s="11" t="str">
        <f aca="false">IFERROR(INDEX('Master Leads'!$B$2:$B$201,MATCH(C142,'Master Leads'!$A$2:$A$201,0)),"")</f>
        <v/>
      </c>
      <c r="E142" s="11" t="str">
        <f aca="false">IFERROR(INDEX('Master Leads'!$D$2:$D$201,MATCH(C142,'Master Leads'!$A$2:$A$201,0)),"")</f>
        <v/>
      </c>
      <c r="F142" s="11"/>
      <c r="G142" s="11"/>
      <c r="H142" s="11"/>
      <c r="I142" s="11"/>
      <c r="J142" s="11"/>
      <c r="K142" s="20"/>
      <c r="L142" s="11"/>
    </row>
    <row r="143" customFormat="false" ht="15" hidden="false" customHeight="false" outlineLevel="0" collapsed="false">
      <c r="A143" s="11"/>
      <c r="B143" s="20"/>
      <c r="C143" s="11"/>
      <c r="D143" s="11" t="str">
        <f aca="false">IFERROR(INDEX('Master Leads'!$B$2:$B$201,MATCH(C143,'Master Leads'!$A$2:$A$201,0)),"")</f>
        <v/>
      </c>
      <c r="E143" s="11" t="str">
        <f aca="false">IFERROR(INDEX('Master Leads'!$D$2:$D$201,MATCH(C143,'Master Leads'!$A$2:$A$201,0)),"")</f>
        <v/>
      </c>
      <c r="F143" s="11"/>
      <c r="G143" s="11"/>
      <c r="H143" s="11"/>
      <c r="I143" s="11"/>
      <c r="J143" s="11"/>
      <c r="K143" s="20"/>
      <c r="L143" s="11"/>
    </row>
    <row r="144" customFormat="false" ht="15" hidden="false" customHeight="false" outlineLevel="0" collapsed="false">
      <c r="A144" s="11"/>
      <c r="B144" s="20"/>
      <c r="C144" s="11"/>
      <c r="D144" s="11" t="str">
        <f aca="false">IFERROR(INDEX('Master Leads'!$B$2:$B$201,MATCH(C144,'Master Leads'!$A$2:$A$201,0)),"")</f>
        <v/>
      </c>
      <c r="E144" s="11" t="str">
        <f aca="false">IFERROR(INDEX('Master Leads'!$D$2:$D$201,MATCH(C144,'Master Leads'!$A$2:$A$201,0)),"")</f>
        <v/>
      </c>
      <c r="F144" s="11"/>
      <c r="G144" s="11"/>
      <c r="H144" s="11"/>
      <c r="I144" s="11"/>
      <c r="J144" s="11"/>
      <c r="K144" s="20"/>
      <c r="L144" s="11"/>
    </row>
    <row r="145" customFormat="false" ht="15" hidden="false" customHeight="false" outlineLevel="0" collapsed="false">
      <c r="A145" s="11"/>
      <c r="B145" s="20"/>
      <c r="C145" s="11"/>
      <c r="D145" s="11" t="str">
        <f aca="false">IFERROR(INDEX('Master Leads'!$B$2:$B$201,MATCH(C145,'Master Leads'!$A$2:$A$201,0)),"")</f>
        <v/>
      </c>
      <c r="E145" s="11" t="str">
        <f aca="false">IFERROR(INDEX('Master Leads'!$D$2:$D$201,MATCH(C145,'Master Leads'!$A$2:$A$201,0)),"")</f>
        <v/>
      </c>
      <c r="F145" s="11"/>
      <c r="G145" s="11"/>
      <c r="H145" s="11"/>
      <c r="I145" s="11"/>
      <c r="J145" s="11"/>
      <c r="K145" s="20"/>
      <c r="L145" s="11"/>
    </row>
    <row r="146" customFormat="false" ht="15" hidden="false" customHeight="false" outlineLevel="0" collapsed="false">
      <c r="A146" s="11"/>
      <c r="B146" s="20"/>
      <c r="C146" s="11"/>
      <c r="D146" s="11" t="str">
        <f aca="false">IFERROR(INDEX('Master Leads'!$B$2:$B$201,MATCH(C146,'Master Leads'!$A$2:$A$201,0)),"")</f>
        <v/>
      </c>
      <c r="E146" s="11" t="str">
        <f aca="false">IFERROR(INDEX('Master Leads'!$D$2:$D$201,MATCH(C146,'Master Leads'!$A$2:$A$201,0)),"")</f>
        <v/>
      </c>
      <c r="F146" s="11"/>
      <c r="G146" s="11"/>
      <c r="H146" s="11"/>
      <c r="I146" s="11"/>
      <c r="J146" s="11"/>
      <c r="K146" s="20"/>
      <c r="L146" s="11"/>
    </row>
    <row r="147" customFormat="false" ht="15" hidden="false" customHeight="false" outlineLevel="0" collapsed="false">
      <c r="A147" s="11"/>
      <c r="B147" s="20"/>
      <c r="C147" s="11"/>
      <c r="D147" s="11" t="str">
        <f aca="false">IFERROR(INDEX('Master Leads'!$B$2:$B$201,MATCH(C147,'Master Leads'!$A$2:$A$201,0)),"")</f>
        <v/>
      </c>
      <c r="E147" s="11" t="str">
        <f aca="false">IFERROR(INDEX('Master Leads'!$D$2:$D$201,MATCH(C147,'Master Leads'!$A$2:$A$201,0)),"")</f>
        <v/>
      </c>
      <c r="F147" s="11"/>
      <c r="G147" s="11"/>
      <c r="H147" s="11"/>
      <c r="I147" s="11"/>
      <c r="J147" s="11"/>
      <c r="K147" s="20"/>
      <c r="L147" s="11"/>
    </row>
    <row r="148" customFormat="false" ht="15" hidden="false" customHeight="false" outlineLevel="0" collapsed="false">
      <c r="A148" s="11"/>
      <c r="B148" s="20"/>
      <c r="C148" s="11"/>
      <c r="D148" s="11" t="str">
        <f aca="false">IFERROR(INDEX('Master Leads'!$B$2:$B$201,MATCH(C148,'Master Leads'!$A$2:$A$201,0)),"")</f>
        <v/>
      </c>
      <c r="E148" s="11" t="str">
        <f aca="false">IFERROR(INDEX('Master Leads'!$D$2:$D$201,MATCH(C148,'Master Leads'!$A$2:$A$201,0)),"")</f>
        <v/>
      </c>
      <c r="F148" s="11"/>
      <c r="G148" s="11"/>
      <c r="H148" s="11"/>
      <c r="I148" s="11"/>
      <c r="J148" s="11"/>
      <c r="K148" s="20"/>
      <c r="L148" s="11"/>
    </row>
    <row r="149" customFormat="false" ht="15" hidden="false" customHeight="false" outlineLevel="0" collapsed="false">
      <c r="A149" s="11"/>
      <c r="B149" s="20"/>
      <c r="C149" s="11"/>
      <c r="D149" s="11" t="str">
        <f aca="false">IFERROR(INDEX('Master Leads'!$B$2:$B$201,MATCH(C149,'Master Leads'!$A$2:$A$201,0)),"")</f>
        <v/>
      </c>
      <c r="E149" s="11" t="str">
        <f aca="false">IFERROR(INDEX('Master Leads'!$D$2:$D$201,MATCH(C149,'Master Leads'!$A$2:$A$201,0)),"")</f>
        <v/>
      </c>
      <c r="F149" s="11"/>
      <c r="G149" s="11"/>
      <c r="H149" s="11"/>
      <c r="I149" s="11"/>
      <c r="J149" s="11"/>
      <c r="K149" s="20"/>
      <c r="L149" s="11"/>
    </row>
    <row r="150" customFormat="false" ht="15" hidden="false" customHeight="false" outlineLevel="0" collapsed="false">
      <c r="A150" s="11"/>
      <c r="B150" s="20"/>
      <c r="C150" s="11"/>
      <c r="D150" s="11" t="str">
        <f aca="false">IFERROR(INDEX('Master Leads'!$B$2:$B$201,MATCH(C150,'Master Leads'!$A$2:$A$201,0)),"")</f>
        <v/>
      </c>
      <c r="E150" s="11" t="str">
        <f aca="false">IFERROR(INDEX('Master Leads'!$D$2:$D$201,MATCH(C150,'Master Leads'!$A$2:$A$201,0)),"")</f>
        <v/>
      </c>
      <c r="F150" s="11"/>
      <c r="G150" s="11"/>
      <c r="H150" s="11"/>
      <c r="I150" s="11"/>
      <c r="J150" s="11"/>
      <c r="K150" s="20"/>
      <c r="L150" s="11"/>
    </row>
    <row r="151" customFormat="false" ht="15" hidden="false" customHeight="false" outlineLevel="0" collapsed="false">
      <c r="A151" s="11"/>
      <c r="B151" s="20"/>
      <c r="C151" s="11"/>
      <c r="D151" s="11" t="str">
        <f aca="false">IFERROR(INDEX('Master Leads'!$B$2:$B$201,MATCH(C151,'Master Leads'!$A$2:$A$201,0)),"")</f>
        <v/>
      </c>
      <c r="E151" s="11" t="str">
        <f aca="false">IFERROR(INDEX('Master Leads'!$D$2:$D$201,MATCH(C151,'Master Leads'!$A$2:$A$201,0)),"")</f>
        <v/>
      </c>
      <c r="F151" s="11"/>
      <c r="G151" s="11"/>
      <c r="H151" s="11"/>
      <c r="I151" s="11"/>
      <c r="J151" s="11"/>
      <c r="K151" s="20"/>
      <c r="L151" s="11"/>
    </row>
    <row r="152" customFormat="false" ht="15" hidden="false" customHeight="false" outlineLevel="0" collapsed="false">
      <c r="A152" s="11"/>
      <c r="B152" s="20"/>
      <c r="C152" s="11"/>
      <c r="D152" s="11" t="str">
        <f aca="false">IFERROR(INDEX('Master Leads'!$B$2:$B$201,MATCH(C152,'Master Leads'!$A$2:$A$201,0)),"")</f>
        <v/>
      </c>
      <c r="E152" s="11" t="str">
        <f aca="false">IFERROR(INDEX('Master Leads'!$D$2:$D$201,MATCH(C152,'Master Leads'!$A$2:$A$201,0)),"")</f>
        <v/>
      </c>
      <c r="F152" s="11"/>
      <c r="G152" s="11"/>
      <c r="H152" s="11"/>
      <c r="I152" s="11"/>
      <c r="J152" s="11"/>
      <c r="K152" s="20"/>
      <c r="L152" s="11"/>
    </row>
    <row r="153" customFormat="false" ht="15" hidden="false" customHeight="false" outlineLevel="0" collapsed="false">
      <c r="A153" s="11"/>
      <c r="B153" s="20"/>
      <c r="C153" s="11"/>
      <c r="D153" s="11" t="str">
        <f aca="false">IFERROR(INDEX('Master Leads'!$B$2:$B$201,MATCH(C153,'Master Leads'!$A$2:$A$201,0)),"")</f>
        <v/>
      </c>
      <c r="E153" s="11" t="str">
        <f aca="false">IFERROR(INDEX('Master Leads'!$D$2:$D$201,MATCH(C153,'Master Leads'!$A$2:$A$201,0)),"")</f>
        <v/>
      </c>
      <c r="F153" s="11"/>
      <c r="G153" s="11"/>
      <c r="H153" s="11"/>
      <c r="I153" s="11"/>
      <c r="J153" s="11"/>
      <c r="K153" s="20"/>
      <c r="L153" s="11"/>
    </row>
    <row r="154" customFormat="false" ht="15" hidden="false" customHeight="false" outlineLevel="0" collapsed="false">
      <c r="A154" s="11"/>
      <c r="B154" s="20"/>
      <c r="C154" s="11"/>
      <c r="D154" s="11" t="str">
        <f aca="false">IFERROR(INDEX('Master Leads'!$B$2:$B$201,MATCH(C154,'Master Leads'!$A$2:$A$201,0)),"")</f>
        <v/>
      </c>
      <c r="E154" s="11" t="str">
        <f aca="false">IFERROR(INDEX('Master Leads'!$D$2:$D$201,MATCH(C154,'Master Leads'!$A$2:$A$201,0)),"")</f>
        <v/>
      </c>
      <c r="F154" s="11"/>
      <c r="G154" s="11"/>
      <c r="H154" s="11"/>
      <c r="I154" s="11"/>
      <c r="J154" s="11"/>
      <c r="K154" s="20"/>
      <c r="L154" s="11"/>
    </row>
    <row r="155" customFormat="false" ht="15" hidden="false" customHeight="false" outlineLevel="0" collapsed="false">
      <c r="A155" s="11"/>
      <c r="B155" s="20"/>
      <c r="C155" s="11"/>
      <c r="D155" s="11" t="str">
        <f aca="false">IFERROR(INDEX('Master Leads'!$B$2:$B$201,MATCH(C155,'Master Leads'!$A$2:$A$201,0)),"")</f>
        <v/>
      </c>
      <c r="E155" s="11" t="str">
        <f aca="false">IFERROR(INDEX('Master Leads'!$D$2:$D$201,MATCH(C155,'Master Leads'!$A$2:$A$201,0)),"")</f>
        <v/>
      </c>
      <c r="F155" s="11"/>
      <c r="G155" s="11"/>
      <c r="H155" s="11"/>
      <c r="I155" s="11"/>
      <c r="J155" s="11"/>
      <c r="K155" s="20"/>
      <c r="L155" s="11"/>
    </row>
    <row r="156" customFormat="false" ht="15" hidden="false" customHeight="false" outlineLevel="0" collapsed="false">
      <c r="A156" s="11"/>
      <c r="B156" s="20"/>
      <c r="C156" s="11"/>
      <c r="D156" s="11" t="str">
        <f aca="false">IFERROR(INDEX('Master Leads'!$B$2:$B$201,MATCH(C156,'Master Leads'!$A$2:$A$201,0)),"")</f>
        <v/>
      </c>
      <c r="E156" s="11" t="str">
        <f aca="false">IFERROR(INDEX('Master Leads'!$D$2:$D$201,MATCH(C156,'Master Leads'!$A$2:$A$201,0)),"")</f>
        <v/>
      </c>
      <c r="F156" s="11"/>
      <c r="G156" s="11"/>
      <c r="H156" s="11"/>
      <c r="I156" s="11"/>
      <c r="J156" s="11"/>
      <c r="K156" s="20"/>
      <c r="L156" s="11"/>
    </row>
    <row r="157" customFormat="false" ht="15" hidden="false" customHeight="false" outlineLevel="0" collapsed="false">
      <c r="A157" s="11"/>
      <c r="B157" s="20"/>
      <c r="C157" s="11"/>
      <c r="D157" s="11" t="str">
        <f aca="false">IFERROR(INDEX('Master Leads'!$B$2:$B$201,MATCH(C157,'Master Leads'!$A$2:$A$201,0)),"")</f>
        <v/>
      </c>
      <c r="E157" s="11" t="str">
        <f aca="false">IFERROR(INDEX('Master Leads'!$D$2:$D$201,MATCH(C157,'Master Leads'!$A$2:$A$201,0)),"")</f>
        <v/>
      </c>
      <c r="F157" s="11"/>
      <c r="G157" s="11"/>
      <c r="H157" s="11"/>
      <c r="I157" s="11"/>
      <c r="J157" s="11"/>
      <c r="K157" s="20"/>
      <c r="L157" s="11"/>
    </row>
    <row r="158" customFormat="false" ht="15" hidden="false" customHeight="false" outlineLevel="0" collapsed="false">
      <c r="A158" s="11"/>
      <c r="B158" s="20"/>
      <c r="C158" s="11"/>
      <c r="D158" s="11" t="str">
        <f aca="false">IFERROR(INDEX('Master Leads'!$B$2:$B$201,MATCH(C158,'Master Leads'!$A$2:$A$201,0)),"")</f>
        <v/>
      </c>
      <c r="E158" s="11" t="str">
        <f aca="false">IFERROR(INDEX('Master Leads'!$D$2:$D$201,MATCH(C158,'Master Leads'!$A$2:$A$201,0)),"")</f>
        <v/>
      </c>
      <c r="F158" s="11"/>
      <c r="G158" s="11"/>
      <c r="H158" s="11"/>
      <c r="I158" s="11"/>
      <c r="J158" s="11"/>
      <c r="K158" s="20"/>
      <c r="L158" s="11"/>
    </row>
    <row r="159" customFormat="false" ht="15" hidden="false" customHeight="false" outlineLevel="0" collapsed="false">
      <c r="A159" s="11"/>
      <c r="B159" s="20"/>
      <c r="C159" s="11"/>
      <c r="D159" s="11" t="str">
        <f aca="false">IFERROR(INDEX('Master Leads'!$B$2:$B$201,MATCH(C159,'Master Leads'!$A$2:$A$201,0)),"")</f>
        <v/>
      </c>
      <c r="E159" s="11" t="str">
        <f aca="false">IFERROR(INDEX('Master Leads'!$D$2:$D$201,MATCH(C159,'Master Leads'!$A$2:$A$201,0)),"")</f>
        <v/>
      </c>
      <c r="F159" s="11"/>
      <c r="G159" s="11"/>
      <c r="H159" s="11"/>
      <c r="I159" s="11"/>
      <c r="J159" s="11"/>
      <c r="K159" s="20"/>
      <c r="L159" s="11"/>
    </row>
    <row r="160" customFormat="false" ht="15" hidden="false" customHeight="false" outlineLevel="0" collapsed="false">
      <c r="A160" s="11"/>
      <c r="B160" s="20"/>
      <c r="C160" s="11"/>
      <c r="D160" s="11" t="str">
        <f aca="false">IFERROR(INDEX('Master Leads'!$B$2:$B$201,MATCH(C160,'Master Leads'!$A$2:$A$201,0)),"")</f>
        <v/>
      </c>
      <c r="E160" s="11" t="str">
        <f aca="false">IFERROR(INDEX('Master Leads'!$D$2:$D$201,MATCH(C160,'Master Leads'!$A$2:$A$201,0)),"")</f>
        <v/>
      </c>
      <c r="F160" s="11"/>
      <c r="G160" s="11"/>
      <c r="H160" s="11"/>
      <c r="I160" s="11"/>
      <c r="J160" s="11"/>
      <c r="K160" s="20"/>
      <c r="L160" s="11"/>
    </row>
    <row r="161" customFormat="false" ht="15" hidden="false" customHeight="false" outlineLevel="0" collapsed="false">
      <c r="A161" s="11"/>
      <c r="B161" s="20"/>
      <c r="C161" s="11"/>
      <c r="D161" s="11" t="str">
        <f aca="false">IFERROR(INDEX('Master Leads'!$B$2:$B$201,MATCH(C161,'Master Leads'!$A$2:$A$201,0)),"")</f>
        <v/>
      </c>
      <c r="E161" s="11" t="str">
        <f aca="false">IFERROR(INDEX('Master Leads'!$D$2:$D$201,MATCH(C161,'Master Leads'!$A$2:$A$201,0)),"")</f>
        <v/>
      </c>
      <c r="F161" s="11"/>
      <c r="G161" s="11"/>
      <c r="H161" s="11"/>
      <c r="I161" s="11"/>
      <c r="J161" s="11"/>
      <c r="K161" s="20"/>
      <c r="L161" s="11"/>
    </row>
    <row r="162" customFormat="false" ht="15" hidden="false" customHeight="false" outlineLevel="0" collapsed="false">
      <c r="A162" s="11"/>
      <c r="B162" s="20"/>
      <c r="C162" s="11"/>
      <c r="D162" s="11" t="str">
        <f aca="false">IFERROR(INDEX('Master Leads'!$B$2:$B$201,MATCH(C162,'Master Leads'!$A$2:$A$201,0)),"")</f>
        <v/>
      </c>
      <c r="E162" s="11" t="str">
        <f aca="false">IFERROR(INDEX('Master Leads'!$D$2:$D$201,MATCH(C162,'Master Leads'!$A$2:$A$201,0)),"")</f>
        <v/>
      </c>
      <c r="F162" s="11"/>
      <c r="G162" s="11"/>
      <c r="H162" s="11"/>
      <c r="I162" s="11"/>
      <c r="J162" s="11"/>
      <c r="K162" s="20"/>
      <c r="L162" s="11"/>
    </row>
    <row r="163" customFormat="false" ht="15" hidden="false" customHeight="false" outlineLevel="0" collapsed="false">
      <c r="A163" s="11"/>
      <c r="B163" s="20"/>
      <c r="C163" s="11"/>
      <c r="D163" s="11" t="str">
        <f aca="false">IFERROR(INDEX('Master Leads'!$B$2:$B$201,MATCH(C163,'Master Leads'!$A$2:$A$201,0)),"")</f>
        <v/>
      </c>
      <c r="E163" s="11" t="str">
        <f aca="false">IFERROR(INDEX('Master Leads'!$D$2:$D$201,MATCH(C163,'Master Leads'!$A$2:$A$201,0)),"")</f>
        <v/>
      </c>
      <c r="F163" s="11"/>
      <c r="G163" s="11"/>
      <c r="H163" s="11"/>
      <c r="I163" s="11"/>
      <c r="J163" s="11"/>
      <c r="K163" s="20"/>
      <c r="L163" s="11"/>
    </row>
    <row r="164" customFormat="false" ht="15" hidden="false" customHeight="false" outlineLevel="0" collapsed="false">
      <c r="A164" s="11"/>
      <c r="B164" s="20"/>
      <c r="C164" s="11"/>
      <c r="D164" s="11" t="str">
        <f aca="false">IFERROR(INDEX('Master Leads'!$B$2:$B$201,MATCH(C164,'Master Leads'!$A$2:$A$201,0)),"")</f>
        <v/>
      </c>
      <c r="E164" s="11" t="str">
        <f aca="false">IFERROR(INDEX('Master Leads'!$D$2:$D$201,MATCH(C164,'Master Leads'!$A$2:$A$201,0)),"")</f>
        <v/>
      </c>
      <c r="F164" s="11"/>
      <c r="G164" s="11"/>
      <c r="H164" s="11"/>
      <c r="I164" s="11"/>
      <c r="J164" s="11"/>
      <c r="K164" s="20"/>
      <c r="L164" s="11"/>
    </row>
    <row r="165" customFormat="false" ht="15" hidden="false" customHeight="false" outlineLevel="0" collapsed="false">
      <c r="A165" s="11"/>
      <c r="B165" s="20"/>
      <c r="C165" s="11"/>
      <c r="D165" s="11" t="str">
        <f aca="false">IFERROR(INDEX('Master Leads'!$B$2:$B$201,MATCH(C165,'Master Leads'!$A$2:$A$201,0)),"")</f>
        <v/>
      </c>
      <c r="E165" s="11" t="str">
        <f aca="false">IFERROR(INDEX('Master Leads'!$D$2:$D$201,MATCH(C165,'Master Leads'!$A$2:$A$201,0)),"")</f>
        <v/>
      </c>
      <c r="F165" s="11"/>
      <c r="G165" s="11"/>
      <c r="H165" s="11"/>
      <c r="I165" s="11"/>
      <c r="J165" s="11"/>
      <c r="K165" s="20"/>
      <c r="L165" s="11"/>
    </row>
    <row r="166" customFormat="false" ht="15" hidden="false" customHeight="false" outlineLevel="0" collapsed="false">
      <c r="A166" s="11"/>
      <c r="B166" s="20"/>
      <c r="C166" s="11"/>
      <c r="D166" s="11" t="str">
        <f aca="false">IFERROR(INDEX('Master Leads'!$B$2:$B$201,MATCH(C166,'Master Leads'!$A$2:$A$201,0)),"")</f>
        <v/>
      </c>
      <c r="E166" s="11" t="str">
        <f aca="false">IFERROR(INDEX('Master Leads'!$D$2:$D$201,MATCH(C166,'Master Leads'!$A$2:$A$201,0)),"")</f>
        <v/>
      </c>
      <c r="F166" s="11"/>
      <c r="G166" s="11"/>
      <c r="H166" s="11"/>
      <c r="I166" s="11"/>
      <c r="J166" s="11"/>
      <c r="K166" s="20"/>
      <c r="L166" s="11"/>
    </row>
    <row r="167" customFormat="false" ht="15" hidden="false" customHeight="false" outlineLevel="0" collapsed="false">
      <c r="A167" s="11"/>
      <c r="B167" s="20"/>
      <c r="C167" s="11"/>
      <c r="D167" s="11" t="str">
        <f aca="false">IFERROR(INDEX('Master Leads'!$B$2:$B$201,MATCH(C167,'Master Leads'!$A$2:$A$201,0)),"")</f>
        <v/>
      </c>
      <c r="E167" s="11" t="str">
        <f aca="false">IFERROR(INDEX('Master Leads'!$D$2:$D$201,MATCH(C167,'Master Leads'!$A$2:$A$201,0)),"")</f>
        <v/>
      </c>
      <c r="F167" s="11"/>
      <c r="G167" s="11"/>
      <c r="H167" s="11"/>
      <c r="I167" s="11"/>
      <c r="J167" s="11"/>
      <c r="K167" s="20"/>
      <c r="L167" s="11"/>
    </row>
    <row r="168" customFormat="false" ht="15" hidden="false" customHeight="false" outlineLevel="0" collapsed="false">
      <c r="A168" s="11"/>
      <c r="B168" s="20"/>
      <c r="C168" s="11"/>
      <c r="D168" s="11" t="str">
        <f aca="false">IFERROR(INDEX('Master Leads'!$B$2:$B$201,MATCH(C168,'Master Leads'!$A$2:$A$201,0)),"")</f>
        <v/>
      </c>
      <c r="E168" s="11" t="str">
        <f aca="false">IFERROR(INDEX('Master Leads'!$D$2:$D$201,MATCH(C168,'Master Leads'!$A$2:$A$201,0)),"")</f>
        <v/>
      </c>
      <c r="F168" s="11"/>
      <c r="G168" s="11"/>
      <c r="H168" s="11"/>
      <c r="I168" s="11"/>
      <c r="J168" s="11"/>
      <c r="K168" s="20"/>
      <c r="L168" s="11"/>
    </row>
    <row r="169" customFormat="false" ht="15" hidden="false" customHeight="false" outlineLevel="0" collapsed="false">
      <c r="A169" s="11"/>
      <c r="B169" s="20"/>
      <c r="C169" s="11"/>
      <c r="D169" s="11" t="str">
        <f aca="false">IFERROR(INDEX('Master Leads'!$B$2:$B$201,MATCH(C169,'Master Leads'!$A$2:$A$201,0)),"")</f>
        <v/>
      </c>
      <c r="E169" s="11" t="str">
        <f aca="false">IFERROR(INDEX('Master Leads'!$D$2:$D$201,MATCH(C169,'Master Leads'!$A$2:$A$201,0)),"")</f>
        <v/>
      </c>
      <c r="F169" s="11"/>
      <c r="G169" s="11"/>
      <c r="H169" s="11"/>
      <c r="I169" s="11"/>
      <c r="J169" s="11"/>
      <c r="K169" s="20"/>
      <c r="L169" s="11"/>
    </row>
    <row r="170" customFormat="false" ht="15" hidden="false" customHeight="false" outlineLevel="0" collapsed="false">
      <c r="A170" s="11"/>
      <c r="B170" s="20"/>
      <c r="C170" s="11"/>
      <c r="D170" s="11" t="str">
        <f aca="false">IFERROR(INDEX('Master Leads'!$B$2:$B$201,MATCH(C170,'Master Leads'!$A$2:$A$201,0)),"")</f>
        <v/>
      </c>
      <c r="E170" s="11" t="str">
        <f aca="false">IFERROR(INDEX('Master Leads'!$D$2:$D$201,MATCH(C170,'Master Leads'!$A$2:$A$201,0)),"")</f>
        <v/>
      </c>
      <c r="F170" s="11"/>
      <c r="G170" s="11"/>
      <c r="H170" s="11"/>
      <c r="I170" s="11"/>
      <c r="J170" s="11"/>
      <c r="K170" s="20"/>
      <c r="L170" s="11"/>
    </row>
    <row r="171" customFormat="false" ht="15" hidden="false" customHeight="false" outlineLevel="0" collapsed="false">
      <c r="A171" s="11"/>
      <c r="B171" s="20"/>
      <c r="C171" s="11"/>
      <c r="D171" s="11" t="str">
        <f aca="false">IFERROR(INDEX('Master Leads'!$B$2:$B$201,MATCH(C171,'Master Leads'!$A$2:$A$201,0)),"")</f>
        <v/>
      </c>
      <c r="E171" s="11" t="str">
        <f aca="false">IFERROR(INDEX('Master Leads'!$D$2:$D$201,MATCH(C171,'Master Leads'!$A$2:$A$201,0)),"")</f>
        <v/>
      </c>
      <c r="F171" s="11"/>
      <c r="G171" s="11"/>
      <c r="H171" s="11"/>
      <c r="I171" s="11"/>
      <c r="J171" s="11"/>
      <c r="K171" s="20"/>
      <c r="L171" s="11"/>
    </row>
    <row r="172" customFormat="false" ht="15" hidden="false" customHeight="false" outlineLevel="0" collapsed="false">
      <c r="A172" s="11"/>
      <c r="B172" s="20"/>
      <c r="C172" s="11"/>
      <c r="D172" s="11" t="str">
        <f aca="false">IFERROR(INDEX('Master Leads'!$B$2:$B$201,MATCH(C172,'Master Leads'!$A$2:$A$201,0)),"")</f>
        <v/>
      </c>
      <c r="E172" s="11" t="str">
        <f aca="false">IFERROR(INDEX('Master Leads'!$D$2:$D$201,MATCH(C172,'Master Leads'!$A$2:$A$201,0)),"")</f>
        <v/>
      </c>
      <c r="F172" s="11"/>
      <c r="G172" s="11"/>
      <c r="H172" s="11"/>
      <c r="I172" s="11"/>
      <c r="J172" s="11"/>
      <c r="K172" s="20"/>
      <c r="L172" s="11"/>
    </row>
    <row r="173" customFormat="false" ht="15" hidden="false" customHeight="false" outlineLevel="0" collapsed="false">
      <c r="A173" s="11"/>
      <c r="B173" s="20"/>
      <c r="C173" s="11"/>
      <c r="D173" s="11" t="str">
        <f aca="false">IFERROR(INDEX('Master Leads'!$B$2:$B$201,MATCH(C173,'Master Leads'!$A$2:$A$201,0)),"")</f>
        <v/>
      </c>
      <c r="E173" s="11" t="str">
        <f aca="false">IFERROR(INDEX('Master Leads'!$D$2:$D$201,MATCH(C173,'Master Leads'!$A$2:$A$201,0)),"")</f>
        <v/>
      </c>
      <c r="F173" s="11"/>
      <c r="G173" s="11"/>
      <c r="H173" s="11"/>
      <c r="I173" s="11"/>
      <c r="J173" s="11"/>
      <c r="K173" s="20"/>
      <c r="L173" s="11"/>
    </row>
    <row r="174" customFormat="false" ht="15" hidden="false" customHeight="false" outlineLevel="0" collapsed="false">
      <c r="A174" s="11"/>
      <c r="B174" s="20"/>
      <c r="C174" s="11"/>
      <c r="D174" s="11" t="str">
        <f aca="false">IFERROR(INDEX('Master Leads'!$B$2:$B$201,MATCH(C174,'Master Leads'!$A$2:$A$201,0)),"")</f>
        <v/>
      </c>
      <c r="E174" s="11" t="str">
        <f aca="false">IFERROR(INDEX('Master Leads'!$D$2:$D$201,MATCH(C174,'Master Leads'!$A$2:$A$201,0)),"")</f>
        <v/>
      </c>
      <c r="F174" s="11"/>
      <c r="G174" s="11"/>
      <c r="H174" s="11"/>
      <c r="I174" s="11"/>
      <c r="J174" s="11"/>
      <c r="K174" s="20"/>
      <c r="L174" s="11"/>
    </row>
    <row r="175" customFormat="false" ht="15" hidden="false" customHeight="false" outlineLevel="0" collapsed="false">
      <c r="A175" s="11"/>
      <c r="B175" s="20"/>
      <c r="C175" s="11"/>
      <c r="D175" s="11" t="str">
        <f aca="false">IFERROR(INDEX('Master Leads'!$B$2:$B$201,MATCH(C175,'Master Leads'!$A$2:$A$201,0)),"")</f>
        <v/>
      </c>
      <c r="E175" s="11" t="str">
        <f aca="false">IFERROR(INDEX('Master Leads'!$D$2:$D$201,MATCH(C175,'Master Leads'!$A$2:$A$201,0)),"")</f>
        <v/>
      </c>
      <c r="F175" s="11"/>
      <c r="G175" s="11"/>
      <c r="H175" s="11"/>
      <c r="I175" s="11"/>
      <c r="J175" s="11"/>
      <c r="K175" s="20"/>
      <c r="L175" s="11"/>
    </row>
    <row r="176" customFormat="false" ht="15" hidden="false" customHeight="false" outlineLevel="0" collapsed="false">
      <c r="A176" s="11"/>
      <c r="B176" s="20"/>
      <c r="C176" s="11"/>
      <c r="D176" s="11" t="str">
        <f aca="false">IFERROR(INDEX('Master Leads'!$B$2:$B$201,MATCH(C176,'Master Leads'!$A$2:$A$201,0)),"")</f>
        <v/>
      </c>
      <c r="E176" s="11" t="str">
        <f aca="false">IFERROR(INDEX('Master Leads'!$D$2:$D$201,MATCH(C176,'Master Leads'!$A$2:$A$201,0)),"")</f>
        <v/>
      </c>
      <c r="F176" s="11"/>
      <c r="G176" s="11"/>
      <c r="H176" s="11"/>
      <c r="I176" s="11"/>
      <c r="J176" s="11"/>
      <c r="K176" s="20"/>
      <c r="L176" s="11"/>
    </row>
    <row r="177" customFormat="false" ht="15" hidden="false" customHeight="false" outlineLevel="0" collapsed="false">
      <c r="A177" s="11"/>
      <c r="B177" s="20"/>
      <c r="C177" s="11"/>
      <c r="D177" s="11" t="str">
        <f aca="false">IFERROR(INDEX('Master Leads'!$B$2:$B$201,MATCH(C177,'Master Leads'!$A$2:$A$201,0)),"")</f>
        <v/>
      </c>
      <c r="E177" s="11" t="str">
        <f aca="false">IFERROR(INDEX('Master Leads'!$D$2:$D$201,MATCH(C177,'Master Leads'!$A$2:$A$201,0)),"")</f>
        <v/>
      </c>
      <c r="F177" s="11"/>
      <c r="G177" s="11"/>
      <c r="H177" s="11"/>
      <c r="I177" s="11"/>
      <c r="J177" s="11"/>
      <c r="K177" s="20"/>
      <c r="L177" s="11"/>
    </row>
    <row r="178" customFormat="false" ht="15" hidden="false" customHeight="false" outlineLevel="0" collapsed="false">
      <c r="A178" s="11"/>
      <c r="B178" s="20"/>
      <c r="C178" s="11"/>
      <c r="D178" s="11" t="str">
        <f aca="false">IFERROR(INDEX('Master Leads'!$B$2:$B$201,MATCH(C178,'Master Leads'!$A$2:$A$201,0)),"")</f>
        <v/>
      </c>
      <c r="E178" s="11" t="str">
        <f aca="false">IFERROR(INDEX('Master Leads'!$D$2:$D$201,MATCH(C178,'Master Leads'!$A$2:$A$201,0)),"")</f>
        <v/>
      </c>
      <c r="F178" s="11"/>
      <c r="G178" s="11"/>
      <c r="H178" s="11"/>
      <c r="I178" s="11"/>
      <c r="J178" s="11"/>
      <c r="K178" s="20"/>
      <c r="L178" s="11"/>
    </row>
    <row r="179" customFormat="false" ht="15" hidden="false" customHeight="false" outlineLevel="0" collapsed="false">
      <c r="A179" s="11"/>
      <c r="B179" s="20"/>
      <c r="C179" s="11"/>
      <c r="D179" s="11" t="str">
        <f aca="false">IFERROR(INDEX('Master Leads'!$B$2:$B$201,MATCH(C179,'Master Leads'!$A$2:$A$201,0)),"")</f>
        <v/>
      </c>
      <c r="E179" s="11" t="str">
        <f aca="false">IFERROR(INDEX('Master Leads'!$D$2:$D$201,MATCH(C179,'Master Leads'!$A$2:$A$201,0)),"")</f>
        <v/>
      </c>
      <c r="F179" s="11"/>
      <c r="G179" s="11"/>
      <c r="H179" s="11"/>
      <c r="I179" s="11"/>
      <c r="J179" s="11"/>
      <c r="K179" s="20"/>
      <c r="L179" s="11"/>
    </row>
    <row r="180" customFormat="false" ht="15" hidden="false" customHeight="false" outlineLevel="0" collapsed="false">
      <c r="A180" s="11"/>
      <c r="B180" s="20"/>
      <c r="C180" s="11"/>
      <c r="D180" s="11" t="str">
        <f aca="false">IFERROR(INDEX('Master Leads'!$B$2:$B$201,MATCH(C180,'Master Leads'!$A$2:$A$201,0)),"")</f>
        <v/>
      </c>
      <c r="E180" s="11" t="str">
        <f aca="false">IFERROR(INDEX('Master Leads'!$D$2:$D$201,MATCH(C180,'Master Leads'!$A$2:$A$201,0)),"")</f>
        <v/>
      </c>
      <c r="F180" s="11"/>
      <c r="G180" s="11"/>
      <c r="H180" s="11"/>
      <c r="I180" s="11"/>
      <c r="J180" s="11"/>
      <c r="K180" s="20"/>
      <c r="L180" s="11"/>
    </row>
    <row r="181" customFormat="false" ht="15" hidden="false" customHeight="false" outlineLevel="0" collapsed="false">
      <c r="A181" s="11"/>
      <c r="B181" s="20"/>
      <c r="C181" s="11"/>
      <c r="D181" s="11" t="str">
        <f aca="false">IFERROR(INDEX('Master Leads'!$B$2:$B$201,MATCH(C181,'Master Leads'!$A$2:$A$201,0)),"")</f>
        <v/>
      </c>
      <c r="E181" s="11" t="str">
        <f aca="false">IFERROR(INDEX('Master Leads'!$D$2:$D$201,MATCH(C181,'Master Leads'!$A$2:$A$201,0)),"")</f>
        <v/>
      </c>
      <c r="F181" s="11"/>
      <c r="G181" s="11"/>
      <c r="H181" s="11"/>
      <c r="I181" s="11"/>
      <c r="J181" s="11"/>
      <c r="K181" s="20"/>
      <c r="L181" s="11"/>
    </row>
    <row r="182" customFormat="false" ht="15" hidden="false" customHeight="false" outlineLevel="0" collapsed="false">
      <c r="A182" s="11"/>
      <c r="B182" s="20"/>
      <c r="C182" s="11"/>
      <c r="D182" s="11" t="str">
        <f aca="false">IFERROR(INDEX('Master Leads'!$B$2:$B$201,MATCH(C182,'Master Leads'!$A$2:$A$201,0)),"")</f>
        <v/>
      </c>
      <c r="E182" s="11" t="str">
        <f aca="false">IFERROR(INDEX('Master Leads'!$D$2:$D$201,MATCH(C182,'Master Leads'!$A$2:$A$201,0)),"")</f>
        <v/>
      </c>
      <c r="F182" s="11"/>
      <c r="G182" s="11"/>
      <c r="H182" s="11"/>
      <c r="I182" s="11"/>
      <c r="J182" s="11"/>
      <c r="K182" s="20"/>
      <c r="L182" s="11"/>
    </row>
    <row r="183" customFormat="false" ht="15" hidden="false" customHeight="false" outlineLevel="0" collapsed="false">
      <c r="A183" s="11"/>
      <c r="B183" s="20"/>
      <c r="C183" s="11"/>
      <c r="D183" s="11" t="str">
        <f aca="false">IFERROR(INDEX('Master Leads'!$B$2:$B$201,MATCH(C183,'Master Leads'!$A$2:$A$201,0)),"")</f>
        <v/>
      </c>
      <c r="E183" s="11" t="str">
        <f aca="false">IFERROR(INDEX('Master Leads'!$D$2:$D$201,MATCH(C183,'Master Leads'!$A$2:$A$201,0)),"")</f>
        <v/>
      </c>
      <c r="F183" s="11"/>
      <c r="G183" s="11"/>
      <c r="H183" s="11"/>
      <c r="I183" s="11"/>
      <c r="J183" s="11"/>
      <c r="K183" s="20"/>
      <c r="L183" s="11"/>
    </row>
    <row r="184" customFormat="false" ht="15" hidden="false" customHeight="false" outlineLevel="0" collapsed="false">
      <c r="A184" s="11"/>
      <c r="B184" s="20"/>
      <c r="C184" s="11"/>
      <c r="D184" s="11" t="str">
        <f aca="false">IFERROR(INDEX('Master Leads'!$B$2:$B$201,MATCH(C184,'Master Leads'!$A$2:$A$201,0)),"")</f>
        <v/>
      </c>
      <c r="E184" s="11" t="str">
        <f aca="false">IFERROR(INDEX('Master Leads'!$D$2:$D$201,MATCH(C184,'Master Leads'!$A$2:$A$201,0)),"")</f>
        <v/>
      </c>
      <c r="F184" s="11"/>
      <c r="G184" s="11"/>
      <c r="H184" s="11"/>
      <c r="I184" s="11"/>
      <c r="J184" s="11"/>
      <c r="K184" s="20"/>
      <c r="L184" s="11"/>
    </row>
    <row r="185" customFormat="false" ht="15" hidden="false" customHeight="false" outlineLevel="0" collapsed="false">
      <c r="A185" s="11"/>
      <c r="B185" s="20"/>
      <c r="C185" s="11"/>
      <c r="D185" s="11" t="str">
        <f aca="false">IFERROR(INDEX('Master Leads'!$B$2:$B$201,MATCH(C185,'Master Leads'!$A$2:$A$201,0)),"")</f>
        <v/>
      </c>
      <c r="E185" s="11" t="str">
        <f aca="false">IFERROR(INDEX('Master Leads'!$D$2:$D$201,MATCH(C185,'Master Leads'!$A$2:$A$201,0)),"")</f>
        <v/>
      </c>
      <c r="F185" s="11"/>
      <c r="G185" s="11"/>
      <c r="H185" s="11"/>
      <c r="I185" s="11"/>
      <c r="J185" s="11"/>
      <c r="K185" s="20"/>
      <c r="L185" s="11"/>
    </row>
    <row r="186" customFormat="false" ht="15" hidden="false" customHeight="false" outlineLevel="0" collapsed="false">
      <c r="A186" s="11"/>
      <c r="B186" s="20"/>
      <c r="C186" s="11"/>
      <c r="D186" s="11" t="str">
        <f aca="false">IFERROR(INDEX('Master Leads'!$B$2:$B$201,MATCH(C186,'Master Leads'!$A$2:$A$201,0)),"")</f>
        <v/>
      </c>
      <c r="E186" s="11" t="str">
        <f aca="false">IFERROR(INDEX('Master Leads'!$D$2:$D$201,MATCH(C186,'Master Leads'!$A$2:$A$201,0)),"")</f>
        <v/>
      </c>
      <c r="F186" s="11"/>
      <c r="G186" s="11"/>
      <c r="H186" s="11"/>
      <c r="I186" s="11"/>
      <c r="J186" s="11"/>
      <c r="K186" s="20"/>
      <c r="L186" s="11"/>
    </row>
    <row r="187" customFormat="false" ht="15" hidden="false" customHeight="false" outlineLevel="0" collapsed="false">
      <c r="A187" s="11"/>
      <c r="B187" s="20"/>
      <c r="C187" s="11"/>
      <c r="D187" s="11" t="str">
        <f aca="false">IFERROR(INDEX('Master Leads'!$B$2:$B$201,MATCH(C187,'Master Leads'!$A$2:$A$201,0)),"")</f>
        <v/>
      </c>
      <c r="E187" s="11" t="str">
        <f aca="false">IFERROR(INDEX('Master Leads'!$D$2:$D$201,MATCH(C187,'Master Leads'!$A$2:$A$201,0)),"")</f>
        <v/>
      </c>
      <c r="F187" s="11"/>
      <c r="G187" s="11"/>
      <c r="H187" s="11"/>
      <c r="I187" s="11"/>
      <c r="J187" s="11"/>
      <c r="K187" s="20"/>
      <c r="L187" s="11"/>
    </row>
    <row r="188" customFormat="false" ht="15" hidden="false" customHeight="false" outlineLevel="0" collapsed="false">
      <c r="A188" s="11"/>
      <c r="B188" s="20"/>
      <c r="C188" s="11"/>
      <c r="D188" s="11" t="str">
        <f aca="false">IFERROR(INDEX('Master Leads'!$B$2:$B$201,MATCH(C188,'Master Leads'!$A$2:$A$201,0)),"")</f>
        <v/>
      </c>
      <c r="E188" s="11" t="str">
        <f aca="false">IFERROR(INDEX('Master Leads'!$D$2:$D$201,MATCH(C188,'Master Leads'!$A$2:$A$201,0)),"")</f>
        <v/>
      </c>
      <c r="F188" s="11"/>
      <c r="G188" s="11"/>
      <c r="H188" s="11"/>
      <c r="I188" s="11"/>
      <c r="J188" s="11"/>
      <c r="K188" s="20"/>
      <c r="L188" s="11"/>
    </row>
    <row r="189" customFormat="false" ht="15" hidden="false" customHeight="false" outlineLevel="0" collapsed="false">
      <c r="A189" s="11"/>
      <c r="B189" s="20"/>
      <c r="C189" s="11"/>
      <c r="D189" s="11" t="str">
        <f aca="false">IFERROR(INDEX('Master Leads'!$B$2:$B$201,MATCH(C189,'Master Leads'!$A$2:$A$201,0)),"")</f>
        <v/>
      </c>
      <c r="E189" s="11" t="str">
        <f aca="false">IFERROR(INDEX('Master Leads'!$D$2:$D$201,MATCH(C189,'Master Leads'!$A$2:$A$201,0)),"")</f>
        <v/>
      </c>
      <c r="F189" s="11"/>
      <c r="G189" s="11"/>
      <c r="H189" s="11"/>
      <c r="I189" s="11"/>
      <c r="J189" s="11"/>
      <c r="K189" s="20"/>
      <c r="L189" s="11"/>
    </row>
    <row r="190" customFormat="false" ht="15" hidden="false" customHeight="false" outlineLevel="0" collapsed="false">
      <c r="A190" s="11"/>
      <c r="B190" s="20"/>
      <c r="C190" s="11"/>
      <c r="D190" s="11" t="str">
        <f aca="false">IFERROR(INDEX('Master Leads'!$B$2:$B$201,MATCH(C190,'Master Leads'!$A$2:$A$201,0)),"")</f>
        <v/>
      </c>
      <c r="E190" s="11" t="str">
        <f aca="false">IFERROR(INDEX('Master Leads'!$D$2:$D$201,MATCH(C190,'Master Leads'!$A$2:$A$201,0)),"")</f>
        <v/>
      </c>
      <c r="F190" s="11"/>
      <c r="G190" s="11"/>
      <c r="H190" s="11"/>
      <c r="I190" s="11"/>
      <c r="J190" s="11"/>
      <c r="K190" s="20"/>
      <c r="L190" s="11"/>
    </row>
    <row r="191" customFormat="false" ht="15" hidden="false" customHeight="false" outlineLevel="0" collapsed="false">
      <c r="A191" s="11"/>
      <c r="B191" s="20"/>
      <c r="C191" s="11"/>
      <c r="D191" s="11" t="str">
        <f aca="false">IFERROR(INDEX('Master Leads'!$B$2:$B$201,MATCH(C191,'Master Leads'!$A$2:$A$201,0)),"")</f>
        <v/>
      </c>
      <c r="E191" s="11" t="str">
        <f aca="false">IFERROR(INDEX('Master Leads'!$D$2:$D$201,MATCH(C191,'Master Leads'!$A$2:$A$201,0)),"")</f>
        <v/>
      </c>
      <c r="F191" s="11"/>
      <c r="G191" s="11"/>
      <c r="H191" s="11"/>
      <c r="I191" s="11"/>
      <c r="J191" s="11"/>
      <c r="K191" s="20"/>
      <c r="L191" s="11"/>
    </row>
    <row r="192" customFormat="false" ht="15" hidden="false" customHeight="false" outlineLevel="0" collapsed="false">
      <c r="A192" s="11"/>
      <c r="B192" s="20"/>
      <c r="C192" s="11"/>
      <c r="D192" s="11" t="str">
        <f aca="false">IFERROR(INDEX('Master Leads'!$B$2:$B$201,MATCH(C192,'Master Leads'!$A$2:$A$201,0)),"")</f>
        <v/>
      </c>
      <c r="E192" s="11" t="str">
        <f aca="false">IFERROR(INDEX('Master Leads'!$D$2:$D$201,MATCH(C192,'Master Leads'!$A$2:$A$201,0)),"")</f>
        <v/>
      </c>
      <c r="F192" s="11"/>
      <c r="G192" s="11"/>
      <c r="H192" s="11"/>
      <c r="I192" s="11"/>
      <c r="J192" s="11"/>
      <c r="K192" s="20"/>
      <c r="L192" s="11"/>
    </row>
    <row r="193" customFormat="false" ht="15" hidden="false" customHeight="false" outlineLevel="0" collapsed="false">
      <c r="A193" s="11"/>
      <c r="B193" s="20"/>
      <c r="C193" s="11"/>
      <c r="D193" s="11" t="str">
        <f aca="false">IFERROR(INDEX('Master Leads'!$B$2:$B$201,MATCH(C193,'Master Leads'!$A$2:$A$201,0)),"")</f>
        <v/>
      </c>
      <c r="E193" s="11" t="str">
        <f aca="false">IFERROR(INDEX('Master Leads'!$D$2:$D$201,MATCH(C193,'Master Leads'!$A$2:$A$201,0)),"")</f>
        <v/>
      </c>
      <c r="F193" s="11"/>
      <c r="G193" s="11"/>
      <c r="H193" s="11"/>
      <c r="I193" s="11"/>
      <c r="J193" s="11"/>
      <c r="K193" s="20"/>
      <c r="L193" s="11"/>
    </row>
    <row r="194" customFormat="false" ht="15" hidden="false" customHeight="false" outlineLevel="0" collapsed="false">
      <c r="A194" s="11"/>
      <c r="B194" s="20"/>
      <c r="C194" s="11"/>
      <c r="D194" s="11" t="str">
        <f aca="false">IFERROR(INDEX('Master Leads'!$B$2:$B$201,MATCH(C194,'Master Leads'!$A$2:$A$201,0)),"")</f>
        <v/>
      </c>
      <c r="E194" s="11" t="str">
        <f aca="false">IFERROR(INDEX('Master Leads'!$D$2:$D$201,MATCH(C194,'Master Leads'!$A$2:$A$201,0)),"")</f>
        <v/>
      </c>
      <c r="F194" s="11"/>
      <c r="G194" s="11"/>
      <c r="H194" s="11"/>
      <c r="I194" s="11"/>
      <c r="J194" s="11"/>
      <c r="K194" s="20"/>
      <c r="L194" s="11"/>
    </row>
    <row r="195" customFormat="false" ht="15" hidden="false" customHeight="false" outlineLevel="0" collapsed="false">
      <c r="A195" s="11"/>
      <c r="B195" s="20"/>
      <c r="C195" s="11"/>
      <c r="D195" s="11" t="str">
        <f aca="false">IFERROR(INDEX('Master Leads'!$B$2:$B$201,MATCH(C195,'Master Leads'!$A$2:$A$201,0)),"")</f>
        <v/>
      </c>
      <c r="E195" s="11" t="str">
        <f aca="false">IFERROR(INDEX('Master Leads'!$D$2:$D$201,MATCH(C195,'Master Leads'!$A$2:$A$201,0)),"")</f>
        <v/>
      </c>
      <c r="F195" s="11"/>
      <c r="G195" s="11"/>
      <c r="H195" s="11"/>
      <c r="I195" s="11"/>
      <c r="J195" s="11"/>
      <c r="K195" s="20"/>
      <c r="L195" s="11"/>
    </row>
    <row r="196" customFormat="false" ht="15" hidden="false" customHeight="false" outlineLevel="0" collapsed="false">
      <c r="A196" s="11"/>
      <c r="B196" s="20"/>
      <c r="C196" s="11"/>
      <c r="D196" s="11" t="str">
        <f aca="false">IFERROR(INDEX('Master Leads'!$B$2:$B$201,MATCH(C196,'Master Leads'!$A$2:$A$201,0)),"")</f>
        <v/>
      </c>
      <c r="E196" s="11" t="str">
        <f aca="false">IFERROR(INDEX('Master Leads'!$D$2:$D$201,MATCH(C196,'Master Leads'!$A$2:$A$201,0)),"")</f>
        <v/>
      </c>
      <c r="F196" s="11"/>
      <c r="G196" s="11"/>
      <c r="H196" s="11"/>
      <c r="I196" s="11"/>
      <c r="J196" s="11"/>
      <c r="K196" s="20"/>
      <c r="L196" s="11"/>
    </row>
    <row r="197" customFormat="false" ht="15" hidden="false" customHeight="false" outlineLevel="0" collapsed="false">
      <c r="A197" s="11"/>
      <c r="B197" s="20"/>
      <c r="C197" s="11"/>
      <c r="D197" s="11" t="str">
        <f aca="false">IFERROR(INDEX('Master Leads'!$B$2:$B$201,MATCH(C197,'Master Leads'!$A$2:$A$201,0)),"")</f>
        <v/>
      </c>
      <c r="E197" s="11" t="str">
        <f aca="false">IFERROR(INDEX('Master Leads'!$D$2:$D$201,MATCH(C197,'Master Leads'!$A$2:$A$201,0)),"")</f>
        <v/>
      </c>
      <c r="F197" s="11"/>
      <c r="G197" s="11"/>
      <c r="H197" s="11"/>
      <c r="I197" s="11"/>
      <c r="J197" s="11"/>
      <c r="K197" s="20"/>
      <c r="L197" s="11"/>
    </row>
    <row r="198" customFormat="false" ht="15" hidden="false" customHeight="false" outlineLevel="0" collapsed="false">
      <c r="A198" s="11"/>
      <c r="B198" s="20"/>
      <c r="C198" s="11"/>
      <c r="D198" s="11" t="str">
        <f aca="false">IFERROR(INDEX('Master Leads'!$B$2:$B$201,MATCH(C198,'Master Leads'!$A$2:$A$201,0)),"")</f>
        <v/>
      </c>
      <c r="E198" s="11" t="str">
        <f aca="false">IFERROR(INDEX('Master Leads'!$D$2:$D$201,MATCH(C198,'Master Leads'!$A$2:$A$201,0)),"")</f>
        <v/>
      </c>
      <c r="F198" s="11"/>
      <c r="G198" s="11"/>
      <c r="H198" s="11"/>
      <c r="I198" s="11"/>
      <c r="J198" s="11"/>
      <c r="K198" s="20"/>
      <c r="L198" s="11"/>
    </row>
    <row r="199" customFormat="false" ht="15" hidden="false" customHeight="false" outlineLevel="0" collapsed="false">
      <c r="A199" s="11"/>
      <c r="B199" s="20"/>
      <c r="C199" s="11"/>
      <c r="D199" s="11" t="str">
        <f aca="false">IFERROR(INDEX('Master Leads'!$B$2:$B$201,MATCH(C199,'Master Leads'!$A$2:$A$201,0)),"")</f>
        <v/>
      </c>
      <c r="E199" s="11" t="str">
        <f aca="false">IFERROR(INDEX('Master Leads'!$D$2:$D$201,MATCH(C199,'Master Leads'!$A$2:$A$201,0)),"")</f>
        <v/>
      </c>
      <c r="F199" s="11"/>
      <c r="G199" s="11"/>
      <c r="H199" s="11"/>
      <c r="I199" s="11"/>
      <c r="J199" s="11"/>
      <c r="K199" s="20"/>
      <c r="L199" s="11"/>
    </row>
    <row r="200" customFormat="false" ht="15" hidden="false" customHeight="false" outlineLevel="0" collapsed="false">
      <c r="A200" s="11"/>
      <c r="B200" s="20"/>
      <c r="C200" s="11"/>
      <c r="D200" s="11" t="str">
        <f aca="false">IFERROR(INDEX('Master Leads'!$B$2:$B$201,MATCH(C200,'Master Leads'!$A$2:$A$201,0)),"")</f>
        <v/>
      </c>
      <c r="E200" s="11" t="str">
        <f aca="false">IFERROR(INDEX('Master Leads'!$D$2:$D$201,MATCH(C200,'Master Leads'!$A$2:$A$201,0)),"")</f>
        <v/>
      </c>
      <c r="F200" s="11"/>
      <c r="G200" s="11"/>
      <c r="H200" s="11"/>
      <c r="I200" s="11"/>
      <c r="J200" s="11"/>
      <c r="K200" s="20"/>
      <c r="L200" s="11"/>
    </row>
    <row r="201" customFormat="false" ht="15" hidden="false" customHeight="false" outlineLevel="0" collapsed="false">
      <c r="A201" s="11"/>
      <c r="B201" s="20"/>
      <c r="C201" s="11"/>
      <c r="D201" s="11" t="str">
        <f aca="false">IFERROR(INDEX('Master Leads'!$B$2:$B$201,MATCH(C201,'Master Leads'!$A$2:$A$201,0)),"")</f>
        <v/>
      </c>
      <c r="E201" s="11" t="str">
        <f aca="false">IFERROR(INDEX('Master Leads'!$D$2:$D$201,MATCH(C201,'Master Leads'!$A$2:$A$201,0)),"")</f>
        <v/>
      </c>
      <c r="F201" s="11"/>
      <c r="G201" s="11"/>
      <c r="H201" s="11"/>
      <c r="I201" s="11"/>
      <c r="J201" s="11"/>
      <c r="K201" s="20"/>
      <c r="L201" s="11"/>
    </row>
  </sheetData>
  <autoFilter ref="A1:L201"/>
  <conditionalFormatting sqref="D2:D201">
    <cfRule type="expression" priority="2" aboveAverage="0" equalAverage="0" bottom="0" percent="0" rank="0" text="" dxfId="9">
      <formula>D2="Web Development"</formula>
    </cfRule>
    <cfRule type="expression" priority="3" aboveAverage="0" equalAverage="0" bottom="0" percent="0" rank="0" text="" dxfId="10">
      <formula>D2="Cinematic Videos"</formula>
    </cfRule>
  </conditionalFormatting>
  <conditionalFormatting sqref="K2:K201">
    <cfRule type="expression" priority="4" aboveAverage="0" equalAverage="0" bottom="0" percent="0" rank="0" text="" dxfId="7">
      <formula>AND(K2&lt;&gt;"",K2&lt;=TODAY())</formula>
    </cfRule>
  </conditionalFormatting>
  <dataValidations count="2">
    <dataValidation allowBlank="true" errorStyle="stop" operator="between" showDropDown="false" showErrorMessage="false" showInputMessage="false" sqref="G2:G201" type="list">
      <formula1>ActivityTypeList</formula1>
      <formula2>0</formula2>
    </dataValidation>
    <dataValidation allowBlank="true" errorStyle="stop" operator="between" showDropDown="false" showErrorMessage="false" showInputMessage="false" sqref="C2:C201" type="list">
      <formula1>'Master Leads'!$A$2:$A$201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8" min="7" style="0" width="18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23" t="s">
        <v>68</v>
      </c>
      <c r="B1" s="23" t="s">
        <v>155</v>
      </c>
      <c r="C1" s="23" t="s">
        <v>156</v>
      </c>
      <c r="D1" s="23" t="s">
        <v>157</v>
      </c>
      <c r="E1" s="23" t="s">
        <v>158</v>
      </c>
      <c r="F1" s="23" t="s">
        <v>93</v>
      </c>
      <c r="G1" s="23" t="s">
        <v>159</v>
      </c>
      <c r="H1" s="23" t="s">
        <v>160</v>
      </c>
      <c r="I1" s="23" t="s">
        <v>161</v>
      </c>
    </row>
    <row r="2" customFormat="false" ht="15" hidden="false" customHeight="false" outlineLevel="0" collapsed="false">
      <c r="A2" s="24" t="s">
        <v>31</v>
      </c>
      <c r="B2" s="24" t="s">
        <v>115</v>
      </c>
      <c r="C2" s="24" t="s">
        <v>116</v>
      </c>
      <c r="D2" s="24" t="s">
        <v>162</v>
      </c>
      <c r="E2" s="24" t="s">
        <v>163</v>
      </c>
      <c r="F2" s="25" t="n">
        <v>0.05</v>
      </c>
      <c r="G2" s="24" t="s">
        <v>112</v>
      </c>
      <c r="H2" s="24" t="s">
        <v>3</v>
      </c>
      <c r="I2" s="24" t="s">
        <v>164</v>
      </c>
    </row>
    <row r="3" customFormat="false" ht="15" hidden="false" customHeight="false" outlineLevel="0" collapsed="false">
      <c r="A3" s="24" t="s">
        <v>32</v>
      </c>
      <c r="B3" s="24" t="s">
        <v>165</v>
      </c>
      <c r="C3" s="24" t="s">
        <v>166</v>
      </c>
      <c r="D3" s="24" t="s">
        <v>167</v>
      </c>
      <c r="E3" s="24" t="s">
        <v>168</v>
      </c>
      <c r="F3" s="25" t="n">
        <v>0.1</v>
      </c>
      <c r="G3" s="24" t="s">
        <v>169</v>
      </c>
      <c r="H3" s="24" t="s">
        <v>31</v>
      </c>
      <c r="I3" s="24" t="s">
        <v>170</v>
      </c>
    </row>
    <row r="4" customFormat="false" ht="15" hidden="false" customHeight="false" outlineLevel="0" collapsed="false">
      <c r="B4" s="24" t="s">
        <v>171</v>
      </c>
      <c r="C4" s="24" t="s">
        <v>136</v>
      </c>
      <c r="D4" s="24" t="s">
        <v>172</v>
      </c>
      <c r="E4" s="24" t="s">
        <v>173</v>
      </c>
      <c r="F4" s="25" t="n">
        <v>0.1</v>
      </c>
      <c r="G4" s="24" t="s">
        <v>174</v>
      </c>
      <c r="H4" s="24" t="s">
        <v>32</v>
      </c>
      <c r="I4" s="24" t="s">
        <v>175</v>
      </c>
    </row>
    <row r="5" customFormat="false" ht="15" hidden="false" customHeight="false" outlineLevel="0" collapsed="false">
      <c r="C5" s="24" t="s">
        <v>176</v>
      </c>
      <c r="D5" s="24" t="s">
        <v>177</v>
      </c>
      <c r="E5" s="24" t="s">
        <v>178</v>
      </c>
      <c r="F5" s="25" t="n">
        <v>0.2</v>
      </c>
      <c r="G5" s="24" t="s">
        <v>79</v>
      </c>
      <c r="I5" s="24" t="s">
        <v>179</v>
      </c>
    </row>
    <row r="6" customFormat="false" ht="15" hidden="false" customHeight="false" outlineLevel="0" collapsed="false">
      <c r="C6" s="24" t="s">
        <v>180</v>
      </c>
      <c r="D6" s="24" t="s">
        <v>117</v>
      </c>
      <c r="E6" s="24" t="s">
        <v>181</v>
      </c>
      <c r="F6" s="25" t="n">
        <v>0.25</v>
      </c>
      <c r="G6" s="24" t="s">
        <v>81</v>
      </c>
      <c r="I6" s="24" t="s">
        <v>182</v>
      </c>
    </row>
    <row r="7" customFormat="false" ht="15" hidden="false" customHeight="false" outlineLevel="0" collapsed="false">
      <c r="C7" s="24" t="s">
        <v>183</v>
      </c>
      <c r="D7" s="24" t="s">
        <v>184</v>
      </c>
      <c r="E7" s="24" t="s">
        <v>151</v>
      </c>
      <c r="F7" s="25" t="n">
        <v>0.35</v>
      </c>
      <c r="G7" s="24" t="s">
        <v>133</v>
      </c>
    </row>
    <row r="8" customFormat="false" ht="15" hidden="false" customHeight="false" outlineLevel="0" collapsed="false">
      <c r="D8" s="24" t="s">
        <v>137</v>
      </c>
      <c r="E8" s="24" t="s">
        <v>185</v>
      </c>
      <c r="F8" s="25" t="n">
        <v>0.4</v>
      </c>
      <c r="G8" s="24" t="s">
        <v>186</v>
      </c>
    </row>
    <row r="9" customFormat="false" ht="15" hidden="false" customHeight="false" outlineLevel="0" collapsed="false">
      <c r="E9" s="24" t="s">
        <v>118</v>
      </c>
      <c r="F9" s="25" t="n">
        <v>0.5</v>
      </c>
      <c r="G9" s="24" t="s">
        <v>151</v>
      </c>
    </row>
    <row r="10" customFormat="false" ht="15" hidden="false" customHeight="false" outlineLevel="0" collapsed="false">
      <c r="E10" s="24" t="s">
        <v>138</v>
      </c>
      <c r="F10" s="25" t="n">
        <v>0.75</v>
      </c>
      <c r="G10" s="24" t="s">
        <v>118</v>
      </c>
    </row>
    <row r="11" customFormat="false" ht="15" hidden="false" customHeight="false" outlineLevel="0" collapsed="false">
      <c r="E11" s="24" t="s">
        <v>187</v>
      </c>
      <c r="F11" s="25" t="n">
        <v>0.85</v>
      </c>
      <c r="G11" s="24" t="s">
        <v>188</v>
      </c>
    </row>
    <row r="12" customFormat="false" ht="15" hidden="false" customHeight="false" outlineLevel="0" collapsed="false">
      <c r="E12" s="24" t="s">
        <v>189</v>
      </c>
      <c r="F12" s="25" t="n">
        <v>0.95</v>
      </c>
      <c r="G12" s="24" t="s">
        <v>190</v>
      </c>
    </row>
    <row r="13" customFormat="false" ht="15" hidden="false" customHeight="false" outlineLevel="0" collapsed="false">
      <c r="E13" s="24" t="s">
        <v>191</v>
      </c>
      <c r="F13" s="25" t="n">
        <v>1</v>
      </c>
      <c r="G13" s="24" t="s">
        <v>192</v>
      </c>
    </row>
    <row r="14" customFormat="false" ht="15" hidden="false" customHeight="false" outlineLevel="0" collapsed="false">
      <c r="E14" s="24" t="s">
        <v>193</v>
      </c>
      <c r="F14" s="25" t="n">
        <v>0</v>
      </c>
    </row>
    <row r="15" customFormat="false" ht="15" hidden="false" customHeight="false" outlineLevel="0" collapsed="false">
      <c r="E15" s="24" t="s">
        <v>194</v>
      </c>
      <c r="F15" s="25" t="n">
        <v>0.05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2026-09-12T14:13:58Z</dcterms:created>
  <dc:creator>openpyxl</dc:creator>
  <dc:description/>
  <dc:language>en-US</dc:language>
  <cp:lastModifiedBy/>
  <dcterms:modified xsi:type="dcterms:W3CDTF">2026-09-12T14:13:58Z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