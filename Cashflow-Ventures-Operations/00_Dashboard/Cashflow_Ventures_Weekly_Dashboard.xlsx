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" sheetId="1" state="visible" r:id="rId3"/>
    <sheet name="Web Development" sheetId="2" state="visible" r:id="rId4"/>
    <sheet name="Cinematic Videos" sheetId="3" state="visible" r:id="rId5"/>
    <sheet name="Weekly_Log" sheetId="4" state="visible" r:id="rId6"/>
    <sheet name="Lists" sheetId="5" state="hidden" r:id="rId7"/>
  </sheets>
  <definedNames>
    <definedName function="false" hidden="false" name="WStageFocusList" vbProcedure="false">Lists!$C$2:$C$16</definedName>
    <definedName function="false" hidden="false" name="WTierFocusList" vbProcedure="false">Lists!$D$2:$D$5</definedName>
    <definedName function="false" hidden="false" name="WVentureFilterList" vbProcedure="false">Lists!$B$2:$B$4</definedName>
    <definedName function="false" hidden="false" name="WVentureList" vbProcedure="false">Lists!$A$2:$A$3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<sst xmlns="http://schemas.openxmlformats.org/spreadsheetml/2006/main" count="189" uniqueCount="87">
  <si>
    <t xml:space="preserve">Combined</t>
  </si>
  <si>
    <t xml:space="preserve">Combined view — use the Venture filter below</t>
  </si>
  <si>
    <t xml:space="preserve">Venture Filter:</t>
  </si>
  <si>
    <t xml:space="preserve">All</t>
  </si>
  <si>
    <t xml:space="preserve">Venture criteria (helper):</t>
  </si>
  <si>
    <t xml:space="preserve">Week Ending (blank = all weeks):</t>
  </si>
  <si>
    <t xml:space="preserve">Week criteria (helper):</t>
  </si>
  <si>
    <t xml:space="preserve">This Week / Filtered Weekly Totals</t>
  </si>
  <si>
    <t xml:space="preserve">Leads added</t>
  </si>
  <si>
    <t xml:space="preserve">Outreach sent</t>
  </si>
  <si>
    <t xml:space="preserve">Follow-ups sent</t>
  </si>
  <si>
    <t xml:space="preserve">Positive replies</t>
  </si>
  <si>
    <t xml:space="preserve">Calls booked</t>
  </si>
  <si>
    <t xml:space="preserve">Previews created</t>
  </si>
  <si>
    <t xml:space="preserve">Previews sent</t>
  </si>
  <si>
    <t xml:space="preserve">Proposals sent</t>
  </si>
  <si>
    <t xml:space="preserve">Deposits received</t>
  </si>
  <si>
    <t xml:space="preserve">Deals won</t>
  </si>
  <si>
    <t xml:space="preserve">Deliverables completed</t>
  </si>
  <si>
    <t xml:space="preserve">Contracted revenue</t>
  </si>
  <si>
    <t xml:space="preserve">Cash collected</t>
  </si>
  <si>
    <t xml:space="preserve">Outstanding payments</t>
  </si>
  <si>
    <t xml:space="preserve">Active projects</t>
  </si>
  <si>
    <t xml:space="preserve">Overdue next actions</t>
  </si>
  <si>
    <t xml:space="preserve">Month-to-Date Totals (current calendar month)</t>
  </si>
  <si>
    <t xml:space="preserve">Targets &amp; Progress (keep in sync with venture dashboards in Master CRM)</t>
  </si>
  <si>
    <t xml:space="preserve">Combined monthly revenue goal</t>
  </si>
  <si>
    <t xml:space="preserve">Progress vs. combined monthly revenue goal (month-to-date)</t>
  </si>
  <si>
    <t xml:space="preserve">Web Development</t>
  </si>
  <si>
    <t xml:space="preserve">Venture-locked to Web Development</t>
  </si>
  <si>
    <t xml:space="preserve">Web Development monthly revenue target</t>
  </si>
  <si>
    <t xml:space="preserve">Progress vs. web development monthly revenue target (month-to-date)</t>
  </si>
  <si>
    <t xml:space="preserve">Cinematic Videos</t>
  </si>
  <si>
    <t xml:space="preserve">Venture-locked to Cinematic Videos</t>
  </si>
  <si>
    <t xml:space="preserve">Cinematic Videos monthly revenue target</t>
  </si>
  <si>
    <t xml:space="preserve">Progress vs. cinematic videos monthly revenue target (month-to-date)</t>
  </si>
  <si>
    <t xml:space="preserve">Week Ending</t>
  </si>
  <si>
    <t xml:space="preserve">Venture</t>
  </si>
  <si>
    <t xml:space="preserve">Geography</t>
  </si>
  <si>
    <t xml:space="preserve">Vertical</t>
  </si>
  <si>
    <t xml:space="preserve">Pipeline Stage Focus</t>
  </si>
  <si>
    <t xml:space="preserve">Lead Tier Focus</t>
  </si>
  <si>
    <t xml:space="preserve">Leads Added</t>
  </si>
  <si>
    <t xml:space="preserve">Outreach Sent</t>
  </si>
  <si>
    <t xml:space="preserve">Follow-Ups Sent</t>
  </si>
  <si>
    <t xml:space="preserve">Positive Replies</t>
  </si>
  <si>
    <t xml:space="preserve">Calls Booked</t>
  </si>
  <si>
    <t xml:space="preserve">Previews Created</t>
  </si>
  <si>
    <t xml:space="preserve">Previews Sent</t>
  </si>
  <si>
    <t xml:space="preserve">Proposals Sent</t>
  </si>
  <si>
    <t xml:space="preserve">Deposits Received</t>
  </si>
  <si>
    <t xml:space="preserve">Deals Won</t>
  </si>
  <si>
    <t xml:space="preserve">Deliverables Completed</t>
  </si>
  <si>
    <t xml:space="preserve">Contracted Revenue</t>
  </si>
  <si>
    <t xml:space="preserve">Cash Collected</t>
  </si>
  <si>
    <t xml:space="preserve">Outstanding Payments</t>
  </si>
  <si>
    <t xml:space="preserve">Active Projects</t>
  </si>
  <si>
    <t xml:space="preserve">Overdue Next Actions</t>
  </si>
  <si>
    <t xml:space="preserve">Notes</t>
  </si>
  <si>
    <t xml:space="preserve">Austin, TX</t>
  </si>
  <si>
    <t xml:space="preserve">Healthcare / Local Service</t>
  </si>
  <si>
    <t xml:space="preserve">Proposal Sent</t>
  </si>
  <si>
    <t xml:space="preserve">A</t>
  </si>
  <si>
    <t xml:space="preserve">Example week — safe to delete. Riverside Dental proposal sent.</t>
  </si>
  <si>
    <t xml:space="preserve">Scottsdale, AZ</t>
  </si>
  <si>
    <t xml:space="preserve">Real Estate</t>
  </si>
  <si>
    <t xml:space="preserve">Verbal Yes</t>
  </si>
  <si>
    <t xml:space="preserve">Example week — safe to delete. Bluestone deposit invoice going out.</t>
  </si>
  <si>
    <t xml:space="preserve">VentureFilter</t>
  </si>
  <si>
    <t xml:space="preserve">StageFocus</t>
  </si>
  <si>
    <t xml:space="preserve">TierFocus</t>
  </si>
  <si>
    <t xml:space="preserve">Identified</t>
  </si>
  <si>
    <t xml:space="preserve">Contacted</t>
  </si>
  <si>
    <t xml:space="preserve">B</t>
  </si>
  <si>
    <t xml:space="preserve">Follow-Up</t>
  </si>
  <si>
    <t xml:space="preserve">C</t>
  </si>
  <si>
    <t xml:space="preserve">Replied</t>
  </si>
  <si>
    <t xml:space="preserve">Mixed</t>
  </si>
  <si>
    <t xml:space="preserve">Qualified</t>
  </si>
  <si>
    <t xml:space="preserve">Preview Sent</t>
  </si>
  <si>
    <t xml:space="preserve">Call Booked</t>
  </si>
  <si>
    <t xml:space="preserve">Deposit Invoiced</t>
  </si>
  <si>
    <t xml:space="preserve">Deposit Paid</t>
  </si>
  <si>
    <t xml:space="preserve">Won</t>
  </si>
  <si>
    <t xml:space="preserve">Lost</t>
  </si>
  <si>
    <t xml:space="preserve">Nurture</t>
  </si>
  <si>
    <t xml:space="preserve">Multiple / Mixed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</si>
</sst>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\$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eeklyLog" displayName="WeeklyLog" ref="A1:W111" headerRowCount="1" totalsRowCount="0" totalsRowShown="0">
  <autoFilter ref="A1:W111"/>
  <tableColumns count="23">
    <tableColumn id="1" name="Week Ending"/>
    <tableColumn id="2" name="Venture"/>
    <tableColumn id="3" name="Geography"/>
    <tableColumn id="4" name="Vertical"/>
    <tableColumn id="5" name="Pipeline Stage Focus"/>
    <tableColumn id="6" name="Lead Tier Focus"/>
    <tableColumn id="7" name="Leads Added"/>
    <tableColumn id="8" name="Outreach Sent"/>
    <tableColumn id="9" name="Follow-Ups Sent"/>
    <tableColumn id="10" name="Positive Replies"/>
    <tableColumn id="11" name="Calls Booked"/>
    <tableColumn id="12" name="Previews Created"/>
    <tableColumn id="13" name="Previews Sent"/>
    <tableColumn id="14" name="Proposals Sent"/>
    <tableColumn id="15" name="Deposits Received"/>
    <tableColumn id="16" name="Deals Won"/>
    <tableColumn id="17" name="Deliverables Completed"/>
    <tableColumn id="18" name="Contracted Revenue"/>
    <tableColumn id="19" name="Cash Collected"/>
    <tableColumn id="20" name="Outstanding Payments"/>
    <tableColumn id="21" name="Active Projects"/>
    <tableColumn id="22" name="Overdue Next Actions"/>
    <tableColumn id="2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str">
        <f aca="false">IF(B4="All","*",B4)</f>
        <v>*</v>
      </c>
    </row>
    <row r="6" customFormat="false" ht="15" hidden="false" customHeight="false" outlineLevel="0" collapsed="false">
      <c r="A6" s="3" t="s">
        <v>5</v>
      </c>
      <c r="B6" s="6"/>
    </row>
    <row r="7" customFormat="false" ht="15" hidden="false" customHeight="false" outlineLevel="0" collapsed="false">
      <c r="A7" s="5" t="s">
        <v>6</v>
      </c>
      <c r="B7" s="5" t="str">
        <f aca="false">IF(B6="","*",B6)</f>
        <v>*</v>
      </c>
    </row>
    <row r="9" customFormat="false" ht="15" hidden="false" customHeight="false" outlineLevel="0" collapsed="false">
      <c r="A9" s="7" t="s">
        <v>7</v>
      </c>
      <c r="B9" s="7"/>
    </row>
    <row r="10" customFormat="false" ht="15" hidden="false" customHeight="false" outlineLevel="0" collapsed="false">
      <c r="A10" s="8" t="s">
        <v>8</v>
      </c>
      <c r="B10" s="9" t="n">
        <f aca="false">SUMIFS(Weekly_Log!$G$2:$G$111,Weekly_Log!$B$2:$B$111,$B$5,Weekly_Log!$A$2:$A$111,$B$7)</f>
        <v>5</v>
      </c>
    </row>
    <row r="11" customFormat="false" ht="15" hidden="false" customHeight="false" outlineLevel="0" collapsed="false">
      <c r="A11" s="8" t="s">
        <v>9</v>
      </c>
      <c r="B11" s="9" t="n">
        <f aca="false">SUMIFS(Weekly_Log!$H$2:$H$111,Weekly_Log!$B$2:$B$111,$B$5,Weekly_Log!$A$2:$A$111,$B$7)</f>
        <v>14</v>
      </c>
    </row>
    <row r="12" customFormat="false" ht="15" hidden="false" customHeight="false" outlineLevel="0" collapsed="false">
      <c r="A12" s="8" t="s">
        <v>10</v>
      </c>
      <c r="B12" s="9" t="n">
        <f aca="false">SUMIFS(Weekly_Log!$I$2:$I$111,Weekly_Log!$B$2:$B$111,$B$5,Weekly_Log!$A$2:$A$111,$B$7)</f>
        <v>6</v>
      </c>
    </row>
    <row r="13" customFormat="false" ht="15" hidden="false" customHeight="false" outlineLevel="0" collapsed="false">
      <c r="A13" s="8" t="s">
        <v>11</v>
      </c>
      <c r="B13" s="9" t="n">
        <f aca="false">SUMIFS(Weekly_Log!$J$2:$J$111,Weekly_Log!$B$2:$B$111,$B$5,Weekly_Log!$A$2:$A$111,$B$7)</f>
        <v>3</v>
      </c>
    </row>
    <row r="14" customFormat="false" ht="15" hidden="false" customHeight="false" outlineLevel="0" collapsed="false">
      <c r="A14" s="8" t="s">
        <v>12</v>
      </c>
      <c r="B14" s="9" t="n">
        <f aca="false">SUMIFS(Weekly_Log!$K$2:$K$111,Weekly_Log!$B$2:$B$111,$B$5,Weekly_Log!$A$2:$A$111,$B$7)</f>
        <v>2</v>
      </c>
    </row>
    <row r="15" customFormat="false" ht="15" hidden="false" customHeight="false" outlineLevel="0" collapsed="false">
      <c r="A15" s="8" t="s">
        <v>13</v>
      </c>
      <c r="B15" s="9" t="n">
        <f aca="false">SUMIFS(Weekly_Log!$L$2:$L$111,Weekly_Log!$B$2:$B$111,$B$5,Weekly_Log!$A$2:$A$111,$B$7)</f>
        <v>2</v>
      </c>
    </row>
    <row r="16" customFormat="false" ht="15" hidden="false" customHeight="false" outlineLevel="0" collapsed="false">
      <c r="A16" s="8" t="s">
        <v>14</v>
      </c>
      <c r="B16" s="9" t="n">
        <f aca="false">SUMIFS(Weekly_Log!$M$2:$M$111,Weekly_Log!$B$2:$B$111,$B$5,Weekly_Log!$A$2:$A$111,$B$7)</f>
        <v>2</v>
      </c>
    </row>
    <row r="17" customFormat="false" ht="15" hidden="false" customHeight="false" outlineLevel="0" collapsed="false">
      <c r="A17" s="8" t="s">
        <v>15</v>
      </c>
      <c r="B17" s="9" t="n">
        <f aca="false">SUMIFS(Weekly_Log!$N$2:$N$111,Weekly_Log!$B$2:$B$111,$B$5,Weekly_Log!$A$2:$A$111,$B$7)</f>
        <v>1</v>
      </c>
    </row>
    <row r="18" customFormat="false" ht="15" hidden="false" customHeight="false" outlineLevel="0" collapsed="false">
      <c r="A18" s="8" t="s">
        <v>16</v>
      </c>
      <c r="B18" s="9" t="n">
        <f aca="false">SUMIFS(Weekly_Log!$O$2:$O$111,Weekly_Log!$B$2:$B$111,$B$5,Weekly_Log!$A$2:$A$111,$B$7)</f>
        <v>1</v>
      </c>
    </row>
    <row r="19" customFormat="false" ht="15" hidden="false" customHeight="false" outlineLevel="0" collapsed="false">
      <c r="A19" s="8" t="s">
        <v>17</v>
      </c>
      <c r="B19" s="9" t="n">
        <f aca="false">SUMIFS(Weekly_Log!$P$2:$P$111,Weekly_Log!$B$2:$B$111,$B$5,Weekly_Log!$A$2:$A$111,$B$7)</f>
        <v>0</v>
      </c>
    </row>
    <row r="20" customFormat="false" ht="15" hidden="false" customHeight="false" outlineLevel="0" collapsed="false">
      <c r="A20" s="8" t="s">
        <v>18</v>
      </c>
      <c r="B20" s="9" t="n">
        <f aca="false">SUMIFS(Weekly_Log!$Q$2:$Q$111,Weekly_Log!$B$2:$B$111,$B$5,Weekly_Log!$A$2:$A$111,$B$7)</f>
        <v>0</v>
      </c>
    </row>
    <row r="21" customFormat="false" ht="15" hidden="false" customHeight="false" outlineLevel="0" collapsed="false">
      <c r="A21" s="8" t="s">
        <v>19</v>
      </c>
      <c r="B21" s="10" t="n">
        <f aca="false">SUMIFS(Weekly_Log!$R$2:$R$111,Weekly_Log!$B$2:$B$111,$B$5,Weekly_Log!$A$2:$A$111,$B$7)</f>
        <v>0</v>
      </c>
    </row>
    <row r="22" customFormat="false" ht="15" hidden="false" customHeight="false" outlineLevel="0" collapsed="false">
      <c r="A22" s="8" t="s">
        <v>20</v>
      </c>
      <c r="B22" s="10" t="n">
        <f aca="false">SUMIFS(Weekly_Log!$S$2:$S$111,Weekly_Log!$B$2:$B$111,$B$5,Weekly_Log!$A$2:$A$111,$B$7)</f>
        <v>900</v>
      </c>
    </row>
    <row r="23" customFormat="false" ht="15" hidden="false" customHeight="false" outlineLevel="0" collapsed="false">
      <c r="A23" s="8" t="s">
        <v>21</v>
      </c>
      <c r="B23" s="10" t="n">
        <f aca="false">SUMIFS(Weekly_Log!$T$2:$T$111,Weekly_Log!$B$2:$B$111,$B$5,Weekly_Log!$A$2:$A$111,$B$7)</f>
        <v>900</v>
      </c>
    </row>
    <row r="24" customFormat="false" ht="15" hidden="false" customHeight="false" outlineLevel="0" collapsed="false">
      <c r="A24" s="8" t="s">
        <v>22</v>
      </c>
      <c r="B24" s="9" t="n">
        <f aca="false">SUMIFS(Weekly_Log!$U$2:$U$111,Weekly_Log!$B$2:$B$111,$B$5,Weekly_Log!$A$2:$A$111,$B$7)</f>
        <v>2</v>
      </c>
    </row>
    <row r="25" customFormat="false" ht="15" hidden="false" customHeight="false" outlineLevel="0" collapsed="false">
      <c r="A25" s="8" t="s">
        <v>23</v>
      </c>
      <c r="B25" s="9" t="n">
        <f aca="false">SUMIFS(Weekly_Log!$V$2:$V$111,Weekly_Log!$B$2:$B$111,$B$5,Weekly_Log!$A$2:$A$111,$B$7)</f>
        <v>0</v>
      </c>
    </row>
    <row r="27" customFormat="false" ht="15" hidden="false" customHeight="false" outlineLevel="0" collapsed="false">
      <c r="A27" s="7" t="s">
        <v>24</v>
      </c>
      <c r="B27" s="7"/>
    </row>
    <row r="28" customFormat="false" ht="15" hidden="false" customHeight="false" outlineLevel="0" collapsed="false">
      <c r="A28" s="8" t="s">
        <v>8</v>
      </c>
      <c r="B28" s="9" t="n">
        <f aca="true">SUMIFS(Weekly_Log!$G$2:$G$111,Weekly_Log!$B$2:$B$111,$B$5,Weekly_Log!$A$2:$A$111,"&gt;="&amp;EOMONTH(TODAY(),-1)+1,Weekly_Log!$A$2:$A$111,"&lt;="&amp;EOMONTH(TODAY(),0))</f>
        <v>2</v>
      </c>
    </row>
    <row r="29" customFormat="false" ht="15" hidden="false" customHeight="false" outlineLevel="0" collapsed="false">
      <c r="A29" s="8" t="s">
        <v>9</v>
      </c>
      <c r="B29" s="9" t="n">
        <f aca="true">SUMIFS(Weekly_Log!$H$2:$H$111,Weekly_Log!$B$2:$B$111,$B$5,Weekly_Log!$A$2:$A$111,"&gt;="&amp;EOMONTH(TODAY(),-1)+1,Weekly_Log!$A$2:$A$111,"&lt;="&amp;EOMONTH(TODAY(),0))</f>
        <v>6</v>
      </c>
    </row>
    <row r="30" customFormat="false" ht="15" hidden="false" customHeight="false" outlineLevel="0" collapsed="false">
      <c r="A30" s="8" t="s">
        <v>10</v>
      </c>
      <c r="B30" s="9" t="n">
        <f aca="true">SUMIFS(Weekly_Log!$I$2:$I$111,Weekly_Log!$B$2:$B$111,$B$5,Weekly_Log!$A$2:$A$111,"&gt;="&amp;EOMONTH(TODAY(),-1)+1,Weekly_Log!$A$2:$A$111,"&lt;="&amp;EOMONTH(TODAY(),0))</f>
        <v>2</v>
      </c>
    </row>
    <row r="31" customFormat="false" ht="15" hidden="false" customHeight="false" outlineLevel="0" collapsed="false">
      <c r="A31" s="8" t="s">
        <v>11</v>
      </c>
      <c r="B31" s="9" t="n">
        <f aca="true">SUMIFS(Weekly_Log!$J$2:$J$111,Weekly_Log!$B$2:$B$111,$B$5,Weekly_Log!$A$2:$A$111,"&gt;="&amp;EOMONTH(TODAY(),-1)+1,Weekly_Log!$A$2:$A$111,"&lt;="&amp;EOMONTH(TODAY(),0))</f>
        <v>1</v>
      </c>
    </row>
    <row r="32" customFormat="false" ht="15" hidden="false" customHeight="false" outlineLevel="0" collapsed="false">
      <c r="A32" s="8" t="s">
        <v>12</v>
      </c>
      <c r="B32" s="9" t="n">
        <f aca="true">SUMIFS(Weekly_Log!$K$2:$K$111,Weekly_Log!$B$2:$B$111,$B$5,Weekly_Log!$A$2:$A$111,"&gt;="&amp;EOMONTH(TODAY(),-1)+1,Weekly_Log!$A$2:$A$111,"&lt;="&amp;EOMONTH(TODAY(),0))</f>
        <v>1</v>
      </c>
    </row>
    <row r="33" customFormat="false" ht="15" hidden="false" customHeight="false" outlineLevel="0" collapsed="false">
      <c r="A33" s="8" t="s">
        <v>13</v>
      </c>
      <c r="B33" s="9" t="n">
        <f aca="true">SUMIFS(Weekly_Log!$L$2:$L$111,Weekly_Log!$B$2:$B$111,$B$5,Weekly_Log!$A$2:$A$111,"&gt;="&amp;EOMONTH(TODAY(),-1)+1,Weekly_Log!$A$2:$A$111,"&lt;="&amp;EOMONTH(TODAY(),0))</f>
        <v>1</v>
      </c>
    </row>
    <row r="34" customFormat="false" ht="15" hidden="false" customHeight="false" outlineLevel="0" collapsed="false">
      <c r="A34" s="8" t="s">
        <v>14</v>
      </c>
      <c r="B34" s="9" t="n">
        <f aca="true">SUMIFS(Weekly_Log!$M$2:$M$111,Weekly_Log!$B$2:$B$111,$B$5,Weekly_Log!$A$2:$A$111,"&gt;="&amp;EOMONTH(TODAY(),-1)+1,Weekly_Log!$A$2:$A$111,"&lt;="&amp;EOMONTH(TODAY(),0))</f>
        <v>1</v>
      </c>
    </row>
    <row r="35" customFormat="false" ht="15" hidden="false" customHeight="false" outlineLevel="0" collapsed="false">
      <c r="A35" s="8" t="s">
        <v>15</v>
      </c>
      <c r="B35" s="9" t="n">
        <f aca="true">SUMIFS(Weekly_Log!$N$2:$N$111,Weekly_Log!$B$2:$B$111,$B$5,Weekly_Log!$A$2:$A$111,"&gt;="&amp;EOMONTH(TODAY(),-1)+1,Weekly_Log!$A$2:$A$111,"&lt;="&amp;EOMONTH(TODAY(),0))</f>
        <v>0</v>
      </c>
    </row>
    <row r="36" customFormat="false" ht="15" hidden="false" customHeight="false" outlineLevel="0" collapsed="false">
      <c r="A36" s="8" t="s">
        <v>16</v>
      </c>
      <c r="B36" s="9" t="n">
        <f aca="true">SUMIFS(Weekly_Log!$O$2:$O$111,Weekly_Log!$B$2:$B$111,$B$5,Weekly_Log!$A$2:$A$111,"&gt;="&amp;EOMONTH(TODAY(),-1)+1,Weekly_Log!$A$2:$A$111,"&lt;="&amp;EOMONTH(TODAY(),0))</f>
        <v>1</v>
      </c>
    </row>
    <row r="37" customFormat="false" ht="15" hidden="false" customHeight="false" outlineLevel="0" collapsed="false">
      <c r="A37" s="8" t="s">
        <v>17</v>
      </c>
      <c r="B37" s="9" t="n">
        <f aca="true">SUMIFS(Weekly_Log!$P$2:$P$111,Weekly_Log!$B$2:$B$111,$B$5,Weekly_Log!$A$2:$A$111,"&gt;="&amp;EOMONTH(TODAY(),-1)+1,Weekly_Log!$A$2:$A$111,"&lt;="&amp;EOMONTH(TODAY(),0))</f>
        <v>0</v>
      </c>
    </row>
    <row r="38" customFormat="false" ht="15" hidden="false" customHeight="false" outlineLevel="0" collapsed="false">
      <c r="A38" s="8" t="s">
        <v>18</v>
      </c>
      <c r="B38" s="9" t="n">
        <f aca="true">SUMIFS(Weekly_Log!$Q$2:$Q$111,Weekly_Log!$B$2:$B$111,$B$5,Weekly_Log!$A$2:$A$111,"&gt;="&amp;EOMONTH(TODAY(),-1)+1,Weekly_Log!$A$2:$A$111,"&lt;="&amp;EOMONTH(TODAY(),0))</f>
        <v>0</v>
      </c>
    </row>
    <row r="39" customFormat="false" ht="15" hidden="false" customHeight="false" outlineLevel="0" collapsed="false">
      <c r="A39" s="8" t="s">
        <v>19</v>
      </c>
      <c r="B39" s="10" t="n">
        <f aca="true">SUMIFS(Weekly_Log!$R$2:$R$111,Weekly_Log!$B$2:$B$111,$B$5,Weekly_Log!$A$2:$A$111,"&gt;="&amp;EOMONTH(TODAY(),-1)+1,Weekly_Log!$A$2:$A$111,"&lt;="&amp;EOMONTH(TODAY(),0))</f>
        <v>0</v>
      </c>
    </row>
    <row r="40" customFormat="false" ht="15" hidden="false" customHeight="false" outlineLevel="0" collapsed="false">
      <c r="A40" s="8" t="s">
        <v>20</v>
      </c>
      <c r="B40" s="10" t="n">
        <f aca="true">SUMIFS(Weekly_Log!$S$2:$S$111,Weekly_Log!$B$2:$B$111,$B$5,Weekly_Log!$A$2:$A$111,"&gt;="&amp;EOMONTH(TODAY(),-1)+1,Weekly_Log!$A$2:$A$111,"&lt;="&amp;EOMONTH(TODAY(),0))</f>
        <v>900</v>
      </c>
    </row>
    <row r="41" customFormat="false" ht="15" hidden="false" customHeight="false" outlineLevel="0" collapsed="false">
      <c r="A41" s="8" t="s">
        <v>21</v>
      </c>
      <c r="B41" s="10" t="n">
        <f aca="true">SUMIFS(Weekly_Log!$T$2:$T$111,Weekly_Log!$B$2:$B$111,$B$5,Weekly_Log!$A$2:$A$111,"&gt;="&amp;EOMONTH(TODAY(),-1)+1,Weekly_Log!$A$2:$A$111,"&lt;="&amp;EOMONTH(TODAY(),0))</f>
        <v>900</v>
      </c>
    </row>
    <row r="42" customFormat="false" ht="15" hidden="false" customHeight="false" outlineLevel="0" collapsed="false">
      <c r="A42" s="8" t="s">
        <v>22</v>
      </c>
      <c r="B42" s="9" t="n">
        <f aca="true">SUMIFS(Weekly_Log!$U$2:$U$111,Weekly_Log!$B$2:$B$111,$B$5,Weekly_Log!$A$2:$A$111,"&gt;="&amp;EOMONTH(TODAY(),-1)+1,Weekly_Log!$A$2:$A$111,"&lt;="&amp;EOMONTH(TODAY(),0))</f>
        <v>1</v>
      </c>
    </row>
    <row r="43" customFormat="false" ht="15" hidden="false" customHeight="false" outlineLevel="0" collapsed="false">
      <c r="A43" s="8" t="s">
        <v>23</v>
      </c>
      <c r="B43" s="9" t="n">
        <f aca="true">SUMIFS(Weekly_Log!$V$2:$V$111,Weekly_Log!$B$2:$B$111,$B$5,Weekly_Log!$A$2:$A$111,"&gt;="&amp;EOMONTH(TODAY(),-1)+1,Weekly_Log!$A$2:$A$111,"&lt;="&amp;EOMONTH(TODAY(),0))</f>
        <v>0</v>
      </c>
    </row>
    <row r="45" customFormat="false" ht="15" hidden="false" customHeight="false" outlineLevel="0" collapsed="false">
      <c r="A45" s="7" t="s">
        <v>25</v>
      </c>
      <c r="B45" s="7"/>
    </row>
    <row r="46" customFormat="false" ht="15" hidden="false" customHeight="false" outlineLevel="0" collapsed="false">
      <c r="A46" s="8" t="s">
        <v>26</v>
      </c>
      <c r="B46" s="11" t="n">
        <v>8500</v>
      </c>
    </row>
    <row r="47" customFormat="false" ht="15" hidden="false" customHeight="false" outlineLevel="0" collapsed="false">
      <c r="A47" s="8" t="s">
        <v>27</v>
      </c>
      <c r="B47" s="12" t="n">
        <f aca="false">IFERROR($B$39/$B$46,0)</f>
        <v>0</v>
      </c>
    </row>
  </sheetData>
  <mergeCells count="5">
    <mergeCell ref="A1:C1"/>
    <mergeCell ref="A2:C2"/>
    <mergeCell ref="A9:B9"/>
    <mergeCell ref="A27:B27"/>
    <mergeCell ref="A45:B45"/>
  </mergeCells>
  <dataValidations count="1">
    <dataValidation allowBlank="true" errorStyle="stop" operator="between" showDropDown="false" showErrorMessage="false" showInputMessage="false" sqref="B4" type="list">
      <formula1>WVentureFilterList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</cols>
  <sheetData>
    <row r="1" customFormat="false" ht="27.75" hidden="false" customHeight="true" outlineLevel="0" collapsed="false">
      <c r="A1" s="1" t="s">
        <v>28</v>
      </c>
      <c r="B1" s="1"/>
      <c r="C1" s="1"/>
    </row>
    <row r="2" customFormat="false" ht="15" hidden="false" customHeight="false" outlineLevel="0" collapsed="false">
      <c r="A2" s="2" t="s">
        <v>29</v>
      </c>
      <c r="B2" s="2"/>
      <c r="C2" s="2"/>
    </row>
    <row r="4" customFormat="false" ht="15" hidden="false" customHeight="false" outlineLevel="0" collapsed="false">
      <c r="A4" s="3" t="s">
        <v>5</v>
      </c>
      <c r="B4" s="6"/>
    </row>
    <row r="5" customFormat="false" ht="15" hidden="false" customHeight="false" outlineLevel="0" collapsed="false">
      <c r="A5" s="5" t="s">
        <v>6</v>
      </c>
      <c r="B5" s="5" t="str">
        <f aca="false">IF(B4="","*",B4)</f>
        <v>*</v>
      </c>
    </row>
    <row r="7" customFormat="false" ht="15" hidden="false" customHeight="false" outlineLevel="0" collapsed="false">
      <c r="A7" s="7" t="s">
        <v>7</v>
      </c>
      <c r="B7" s="7"/>
    </row>
    <row r="8" customFormat="false" ht="15" hidden="false" customHeight="false" outlineLevel="0" collapsed="false">
      <c r="A8" s="8" t="s">
        <v>8</v>
      </c>
      <c r="B8" s="9" t="n">
        <f aca="false">SUMIFS(Weekly_Log!$G$2:$G$111,Weekly_Log!$B$2:$B$111,"Web Development",Weekly_Log!$A$2:$A$111,$B$5)</f>
        <v>3</v>
      </c>
    </row>
    <row r="9" customFormat="false" ht="15" hidden="false" customHeight="false" outlineLevel="0" collapsed="false">
      <c r="A9" s="8" t="s">
        <v>9</v>
      </c>
      <c r="B9" s="9" t="n">
        <f aca="false">SUMIFS(Weekly_Log!$H$2:$H$111,Weekly_Log!$B$2:$B$111,"Web Development",Weekly_Log!$A$2:$A$111,$B$5)</f>
        <v>8</v>
      </c>
    </row>
    <row r="10" customFormat="false" ht="15" hidden="false" customHeight="false" outlineLevel="0" collapsed="false">
      <c r="A10" s="8" t="s">
        <v>10</v>
      </c>
      <c r="B10" s="9" t="n">
        <f aca="false">SUMIFS(Weekly_Log!$I$2:$I$111,Weekly_Log!$B$2:$B$111,"Web Development",Weekly_Log!$A$2:$A$111,$B$5)</f>
        <v>4</v>
      </c>
    </row>
    <row r="11" customFormat="false" ht="15" hidden="false" customHeight="false" outlineLevel="0" collapsed="false">
      <c r="A11" s="8" t="s">
        <v>11</v>
      </c>
      <c r="B11" s="9" t="n">
        <f aca="false">SUMIFS(Weekly_Log!$J$2:$J$111,Weekly_Log!$B$2:$B$111,"Web Development",Weekly_Log!$A$2:$A$111,$B$5)</f>
        <v>2</v>
      </c>
    </row>
    <row r="12" customFormat="false" ht="15" hidden="false" customHeight="false" outlineLevel="0" collapsed="false">
      <c r="A12" s="8" t="s">
        <v>12</v>
      </c>
      <c r="B12" s="9" t="n">
        <f aca="false">SUMIFS(Weekly_Log!$K$2:$K$111,Weekly_Log!$B$2:$B$111,"Web Development",Weekly_Log!$A$2:$A$111,$B$5)</f>
        <v>1</v>
      </c>
    </row>
    <row r="13" customFormat="false" ht="15" hidden="false" customHeight="false" outlineLevel="0" collapsed="false">
      <c r="A13" s="8" t="s">
        <v>13</v>
      </c>
      <c r="B13" s="9" t="n">
        <f aca="false">SUMIFS(Weekly_Log!$L$2:$L$111,Weekly_Log!$B$2:$B$111,"Web Development",Weekly_Log!$A$2:$A$111,$B$5)</f>
        <v>1</v>
      </c>
    </row>
    <row r="14" customFormat="false" ht="15" hidden="false" customHeight="false" outlineLevel="0" collapsed="false">
      <c r="A14" s="8" t="s">
        <v>14</v>
      </c>
      <c r="B14" s="9" t="n">
        <f aca="false">SUMIFS(Weekly_Log!$M$2:$M$111,Weekly_Log!$B$2:$B$111,"Web Development",Weekly_Log!$A$2:$A$111,$B$5)</f>
        <v>1</v>
      </c>
    </row>
    <row r="15" customFormat="false" ht="15" hidden="false" customHeight="false" outlineLevel="0" collapsed="false">
      <c r="A15" s="8" t="s">
        <v>15</v>
      </c>
      <c r="B15" s="9" t="n">
        <f aca="false">SUMIFS(Weekly_Log!$N$2:$N$111,Weekly_Log!$B$2:$B$111,"Web Development",Weekly_Log!$A$2:$A$111,$B$5)</f>
        <v>1</v>
      </c>
    </row>
    <row r="16" customFormat="false" ht="15" hidden="false" customHeight="false" outlineLevel="0" collapsed="false">
      <c r="A16" s="8" t="s">
        <v>16</v>
      </c>
      <c r="B16" s="9" t="n">
        <f aca="false">SUMIFS(Weekly_Log!$O$2:$O$111,Weekly_Log!$B$2:$B$111,"Web Development",Weekly_Log!$A$2:$A$111,$B$5)</f>
        <v>0</v>
      </c>
    </row>
    <row r="17" customFormat="false" ht="15" hidden="false" customHeight="false" outlineLevel="0" collapsed="false">
      <c r="A17" s="8" t="s">
        <v>17</v>
      </c>
      <c r="B17" s="9" t="n">
        <f aca="false">SUMIFS(Weekly_Log!$P$2:$P$111,Weekly_Log!$B$2:$B$111,"Web Development",Weekly_Log!$A$2:$A$111,$B$5)</f>
        <v>0</v>
      </c>
    </row>
    <row r="18" customFormat="false" ht="15" hidden="false" customHeight="false" outlineLevel="0" collapsed="false">
      <c r="A18" s="8" t="s">
        <v>18</v>
      </c>
      <c r="B18" s="9" t="n">
        <f aca="false">SUMIFS(Weekly_Log!$Q$2:$Q$111,Weekly_Log!$B$2:$B$111,"Web Development",Weekly_Log!$A$2:$A$111,$B$5)</f>
        <v>0</v>
      </c>
    </row>
    <row r="19" customFormat="false" ht="15" hidden="false" customHeight="false" outlineLevel="0" collapsed="false">
      <c r="A19" s="8" t="s">
        <v>19</v>
      </c>
      <c r="B19" s="10" t="n">
        <f aca="false">SUMIFS(Weekly_Log!$R$2:$R$111,Weekly_Log!$B$2:$B$111,"Web Development",Weekly_Log!$A$2:$A$111,$B$5)</f>
        <v>0</v>
      </c>
    </row>
    <row r="20" customFormat="false" ht="15" hidden="false" customHeight="false" outlineLevel="0" collapsed="false">
      <c r="A20" s="8" t="s">
        <v>20</v>
      </c>
      <c r="B20" s="10" t="n">
        <f aca="false">SUMIFS(Weekly_Log!$S$2:$S$111,Weekly_Log!$B$2:$B$111,"Web Development",Weekly_Log!$A$2:$A$111,$B$5)</f>
        <v>0</v>
      </c>
    </row>
    <row r="21" customFormat="false" ht="15" hidden="false" customHeight="false" outlineLevel="0" collapsed="false">
      <c r="A21" s="8" t="s">
        <v>21</v>
      </c>
      <c r="B21" s="10" t="n">
        <f aca="false">SUMIFS(Weekly_Log!$T$2:$T$111,Weekly_Log!$B$2:$B$111,"Web Development",Weekly_Log!$A$2:$A$111,$B$5)</f>
        <v>0</v>
      </c>
    </row>
    <row r="22" customFormat="false" ht="15" hidden="false" customHeight="false" outlineLevel="0" collapsed="false">
      <c r="A22" s="8" t="s">
        <v>22</v>
      </c>
      <c r="B22" s="9" t="n">
        <f aca="false">SUMIFS(Weekly_Log!$U$2:$U$111,Weekly_Log!$B$2:$B$111,"Web Development",Weekly_Log!$A$2:$A$111,$B$5)</f>
        <v>1</v>
      </c>
    </row>
    <row r="23" customFormat="false" ht="15" hidden="false" customHeight="false" outlineLevel="0" collapsed="false">
      <c r="A23" s="8" t="s">
        <v>23</v>
      </c>
      <c r="B23" s="9" t="n">
        <f aca="false">SUMIFS(Weekly_Log!$V$2:$V$111,Weekly_Log!$B$2:$B$111,"Web Development",Weekly_Log!$A$2:$A$111,$B$5)</f>
        <v>0</v>
      </c>
    </row>
    <row r="25" customFormat="false" ht="15" hidden="false" customHeight="false" outlineLevel="0" collapsed="false">
      <c r="A25" s="7" t="s">
        <v>24</v>
      </c>
      <c r="B25" s="7"/>
    </row>
    <row r="26" customFormat="false" ht="15" hidden="false" customHeight="false" outlineLevel="0" collapsed="false">
      <c r="A26" s="8" t="s">
        <v>8</v>
      </c>
      <c r="B26" s="9" t="n">
        <f aca="true">SUMIFS(Weekly_Log!$G$2:$G$111,Weekly_Log!$B$2:$B$111,"Web Development",Weekly_Log!$A$2:$A$111,"&gt;="&amp;EOMONTH(TODAY(),-1)+1,Weekly_Log!$A$2:$A$111,"&lt;="&amp;EOMONTH(TODAY(),0))</f>
        <v>0</v>
      </c>
    </row>
    <row r="27" customFormat="false" ht="15" hidden="false" customHeight="false" outlineLevel="0" collapsed="false">
      <c r="A27" s="8" t="s">
        <v>9</v>
      </c>
      <c r="B27" s="9" t="n">
        <f aca="true">SUMIFS(Weekly_Log!$H$2:$H$111,Weekly_Log!$B$2:$B$111,"Web Development",Weekly_Log!$A$2:$A$111,"&gt;="&amp;EOMONTH(TODAY(),-1)+1,Weekly_Log!$A$2:$A$111,"&lt;="&amp;EOMONTH(TODAY(),0))</f>
        <v>0</v>
      </c>
    </row>
    <row r="28" customFormat="false" ht="15" hidden="false" customHeight="false" outlineLevel="0" collapsed="false">
      <c r="A28" s="8" t="s">
        <v>10</v>
      </c>
      <c r="B28" s="9" t="n">
        <f aca="true">SUMIFS(Weekly_Log!$I$2:$I$111,Weekly_Log!$B$2:$B$111,"Web Development",Weekly_Log!$A$2:$A$111,"&gt;="&amp;EOMONTH(TODAY(),-1)+1,Weekly_Log!$A$2:$A$111,"&lt;="&amp;EOMONTH(TODAY(),0))</f>
        <v>0</v>
      </c>
    </row>
    <row r="29" customFormat="false" ht="15" hidden="false" customHeight="false" outlineLevel="0" collapsed="false">
      <c r="A29" s="8" t="s">
        <v>11</v>
      </c>
      <c r="B29" s="9" t="n">
        <f aca="true">SUMIFS(Weekly_Log!$J$2:$J$111,Weekly_Log!$B$2:$B$111,"Web Development",Weekly_Log!$A$2:$A$111,"&gt;="&amp;EOMONTH(TODAY(),-1)+1,Weekly_Log!$A$2:$A$111,"&lt;="&amp;EOMONTH(TODAY(),0))</f>
        <v>0</v>
      </c>
    </row>
    <row r="30" customFormat="false" ht="15" hidden="false" customHeight="false" outlineLevel="0" collapsed="false">
      <c r="A30" s="8" t="s">
        <v>12</v>
      </c>
      <c r="B30" s="9" t="n">
        <f aca="true">SUMIFS(Weekly_Log!$K$2:$K$111,Weekly_Log!$B$2:$B$111,"Web Development",Weekly_Log!$A$2:$A$111,"&gt;="&amp;EOMONTH(TODAY(),-1)+1,Weekly_Log!$A$2:$A$111,"&lt;="&amp;EOMONTH(TODAY(),0))</f>
        <v>0</v>
      </c>
    </row>
    <row r="31" customFormat="false" ht="15" hidden="false" customHeight="false" outlineLevel="0" collapsed="false">
      <c r="A31" s="8" t="s">
        <v>13</v>
      </c>
      <c r="B31" s="9" t="n">
        <f aca="true">SUMIFS(Weekly_Log!$L$2:$L$111,Weekly_Log!$B$2:$B$111,"Web Development",Weekly_Log!$A$2:$A$111,"&gt;="&amp;EOMONTH(TODAY(),-1)+1,Weekly_Log!$A$2:$A$111,"&lt;="&amp;EOMONTH(TODAY(),0))</f>
        <v>0</v>
      </c>
    </row>
    <row r="32" customFormat="false" ht="15" hidden="false" customHeight="false" outlineLevel="0" collapsed="false">
      <c r="A32" s="8" t="s">
        <v>14</v>
      </c>
      <c r="B32" s="9" t="n">
        <f aca="true">SUMIFS(Weekly_Log!$M$2:$M$111,Weekly_Log!$B$2:$B$111,"Web Development",Weekly_Log!$A$2:$A$111,"&gt;="&amp;EOMONTH(TODAY(),-1)+1,Weekly_Log!$A$2:$A$111,"&lt;="&amp;EOMONTH(TODAY(),0))</f>
        <v>0</v>
      </c>
    </row>
    <row r="33" customFormat="false" ht="15" hidden="false" customHeight="false" outlineLevel="0" collapsed="false">
      <c r="A33" s="8" t="s">
        <v>15</v>
      </c>
      <c r="B33" s="9" t="n">
        <f aca="true">SUMIFS(Weekly_Log!$N$2:$N$111,Weekly_Log!$B$2:$B$111,"Web Development",Weekly_Log!$A$2:$A$111,"&gt;="&amp;EOMONTH(TODAY(),-1)+1,Weekly_Log!$A$2:$A$111,"&lt;="&amp;EOMONTH(TODAY(),0))</f>
        <v>0</v>
      </c>
    </row>
    <row r="34" customFormat="false" ht="15" hidden="false" customHeight="false" outlineLevel="0" collapsed="false">
      <c r="A34" s="8" t="s">
        <v>16</v>
      </c>
      <c r="B34" s="9" t="n">
        <f aca="true">SUMIFS(Weekly_Log!$O$2:$O$111,Weekly_Log!$B$2:$B$111,"Web Development",Weekly_Log!$A$2:$A$111,"&gt;="&amp;EOMONTH(TODAY(),-1)+1,Weekly_Log!$A$2:$A$111,"&lt;="&amp;EOMONTH(TODAY(),0))</f>
        <v>0</v>
      </c>
    </row>
    <row r="35" customFormat="false" ht="15" hidden="false" customHeight="false" outlineLevel="0" collapsed="false">
      <c r="A35" s="8" t="s">
        <v>17</v>
      </c>
      <c r="B35" s="9" t="n">
        <f aca="true">SUMIFS(Weekly_Log!$P$2:$P$111,Weekly_Log!$B$2:$B$111,"Web Development",Weekly_Log!$A$2:$A$111,"&gt;="&amp;EOMONTH(TODAY(),-1)+1,Weekly_Log!$A$2:$A$111,"&lt;="&amp;EOMONTH(TODAY(),0))</f>
        <v>0</v>
      </c>
    </row>
    <row r="36" customFormat="false" ht="15" hidden="false" customHeight="false" outlineLevel="0" collapsed="false">
      <c r="A36" s="8" t="s">
        <v>18</v>
      </c>
      <c r="B36" s="9" t="n">
        <f aca="true">SUMIFS(Weekly_Log!$Q$2:$Q$111,Weekly_Log!$B$2:$B$111,"Web Development",Weekly_Log!$A$2:$A$111,"&gt;="&amp;EOMONTH(TODAY(),-1)+1,Weekly_Log!$A$2:$A$111,"&lt;="&amp;EOMONTH(TODAY(),0))</f>
        <v>0</v>
      </c>
    </row>
    <row r="37" customFormat="false" ht="15" hidden="false" customHeight="false" outlineLevel="0" collapsed="false">
      <c r="A37" s="8" t="s">
        <v>19</v>
      </c>
      <c r="B37" s="10" t="n">
        <f aca="true">SUMIFS(Weekly_Log!$R$2:$R$111,Weekly_Log!$B$2:$B$111,"Web Development",Weekly_Log!$A$2:$A$111,"&gt;="&amp;EOMONTH(TODAY(),-1)+1,Weekly_Log!$A$2:$A$111,"&lt;="&amp;EOMONTH(TODAY(),0))</f>
        <v>0</v>
      </c>
    </row>
    <row r="38" customFormat="false" ht="15" hidden="false" customHeight="false" outlineLevel="0" collapsed="false">
      <c r="A38" s="8" t="s">
        <v>20</v>
      </c>
      <c r="B38" s="10" t="n">
        <f aca="true">SUMIFS(Weekly_Log!$S$2:$S$111,Weekly_Log!$B$2:$B$111,"Web Development",Weekly_Log!$A$2:$A$111,"&gt;="&amp;EOMONTH(TODAY(),-1)+1,Weekly_Log!$A$2:$A$111,"&lt;="&amp;EOMONTH(TODAY(),0))</f>
        <v>0</v>
      </c>
    </row>
    <row r="39" customFormat="false" ht="15" hidden="false" customHeight="false" outlineLevel="0" collapsed="false">
      <c r="A39" s="8" t="s">
        <v>21</v>
      </c>
      <c r="B39" s="10" t="n">
        <f aca="true">SUMIFS(Weekly_Log!$T$2:$T$111,Weekly_Log!$B$2:$B$111,"Web Development",Weekly_Log!$A$2:$A$111,"&gt;="&amp;EOMONTH(TODAY(),-1)+1,Weekly_Log!$A$2:$A$111,"&lt;="&amp;EOMONTH(TODAY(),0))</f>
        <v>0</v>
      </c>
    </row>
    <row r="40" customFormat="false" ht="15" hidden="false" customHeight="false" outlineLevel="0" collapsed="false">
      <c r="A40" s="8" t="s">
        <v>22</v>
      </c>
      <c r="B40" s="9" t="n">
        <f aca="true">SUMIFS(Weekly_Log!$U$2:$U$111,Weekly_Log!$B$2:$B$111,"Web Development",Weekly_Log!$A$2:$A$111,"&gt;="&amp;EOMONTH(TODAY(),-1)+1,Weekly_Log!$A$2:$A$111,"&lt;="&amp;EOMONTH(TODAY(),0))</f>
        <v>0</v>
      </c>
    </row>
    <row r="41" customFormat="false" ht="15" hidden="false" customHeight="false" outlineLevel="0" collapsed="false">
      <c r="A41" s="8" t="s">
        <v>23</v>
      </c>
      <c r="B41" s="9" t="n">
        <f aca="true">SUMIFS(Weekly_Log!$V$2:$V$111,Weekly_Log!$B$2:$B$111,"Web Development",Weekly_Log!$A$2:$A$111,"&gt;="&amp;EOMONTH(TODAY(),-1)+1,Weekly_Log!$A$2:$A$111,"&lt;="&amp;EOMONTH(TODAY(),0))</f>
        <v>0</v>
      </c>
    </row>
    <row r="43" customFormat="false" ht="15" hidden="false" customHeight="false" outlineLevel="0" collapsed="false">
      <c r="A43" s="7" t="s">
        <v>25</v>
      </c>
      <c r="B43" s="7"/>
    </row>
    <row r="44" customFormat="false" ht="15" hidden="false" customHeight="false" outlineLevel="0" collapsed="false">
      <c r="A44" s="8" t="s">
        <v>30</v>
      </c>
      <c r="B44" s="11" t="n">
        <v>4000</v>
      </c>
    </row>
    <row r="45" customFormat="false" ht="15" hidden="false" customHeight="false" outlineLevel="0" collapsed="false">
      <c r="A45" s="8" t="s">
        <v>31</v>
      </c>
      <c r="B45" s="12" t="n">
        <f aca="false">IFERROR($B$37/$B$44,0)</f>
        <v>0</v>
      </c>
    </row>
  </sheetData>
  <mergeCells count="5">
    <mergeCell ref="A1:C1"/>
    <mergeCell ref="A2:C2"/>
    <mergeCell ref="A7:B7"/>
    <mergeCell ref="A25:B25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</cols>
  <sheetData>
    <row r="1" customFormat="false" ht="27.75" hidden="false" customHeight="true" outlineLevel="0" collapsed="false">
      <c r="A1" s="1" t="s">
        <v>32</v>
      </c>
      <c r="B1" s="1"/>
      <c r="C1" s="1"/>
    </row>
    <row r="2" customFormat="false" ht="15" hidden="false" customHeight="false" outlineLevel="0" collapsed="false">
      <c r="A2" s="2" t="s">
        <v>33</v>
      </c>
      <c r="B2" s="2"/>
      <c r="C2" s="2"/>
    </row>
    <row r="4" customFormat="false" ht="15" hidden="false" customHeight="false" outlineLevel="0" collapsed="false">
      <c r="A4" s="3" t="s">
        <v>5</v>
      </c>
      <c r="B4" s="6"/>
    </row>
    <row r="5" customFormat="false" ht="15" hidden="false" customHeight="false" outlineLevel="0" collapsed="false">
      <c r="A5" s="5" t="s">
        <v>6</v>
      </c>
      <c r="B5" s="5" t="str">
        <f aca="false">IF(B4="","*",B4)</f>
        <v>*</v>
      </c>
    </row>
    <row r="7" customFormat="false" ht="15" hidden="false" customHeight="false" outlineLevel="0" collapsed="false">
      <c r="A7" s="7" t="s">
        <v>7</v>
      </c>
      <c r="B7" s="7"/>
    </row>
    <row r="8" customFormat="false" ht="15" hidden="false" customHeight="false" outlineLevel="0" collapsed="false">
      <c r="A8" s="8" t="s">
        <v>8</v>
      </c>
      <c r="B8" s="9" t="n">
        <f aca="false">SUMIFS(Weekly_Log!$G$2:$G$111,Weekly_Log!$B$2:$B$111,"Cinematic Videos",Weekly_Log!$A$2:$A$111,$B$5)</f>
        <v>2</v>
      </c>
    </row>
    <row r="9" customFormat="false" ht="15" hidden="false" customHeight="false" outlineLevel="0" collapsed="false">
      <c r="A9" s="8" t="s">
        <v>9</v>
      </c>
      <c r="B9" s="9" t="n">
        <f aca="false">SUMIFS(Weekly_Log!$H$2:$H$111,Weekly_Log!$B$2:$B$111,"Cinematic Videos",Weekly_Log!$A$2:$A$111,$B$5)</f>
        <v>6</v>
      </c>
    </row>
    <row r="10" customFormat="false" ht="15" hidden="false" customHeight="false" outlineLevel="0" collapsed="false">
      <c r="A10" s="8" t="s">
        <v>10</v>
      </c>
      <c r="B10" s="9" t="n">
        <f aca="false">SUMIFS(Weekly_Log!$I$2:$I$111,Weekly_Log!$B$2:$B$111,"Cinematic Videos",Weekly_Log!$A$2:$A$111,$B$5)</f>
        <v>2</v>
      </c>
    </row>
    <row r="11" customFormat="false" ht="15" hidden="false" customHeight="false" outlineLevel="0" collapsed="false">
      <c r="A11" s="8" t="s">
        <v>11</v>
      </c>
      <c r="B11" s="9" t="n">
        <f aca="false">SUMIFS(Weekly_Log!$J$2:$J$111,Weekly_Log!$B$2:$B$111,"Cinematic Videos",Weekly_Log!$A$2:$A$111,$B$5)</f>
        <v>1</v>
      </c>
    </row>
    <row r="12" customFormat="false" ht="15" hidden="false" customHeight="false" outlineLevel="0" collapsed="false">
      <c r="A12" s="8" t="s">
        <v>12</v>
      </c>
      <c r="B12" s="9" t="n">
        <f aca="false">SUMIFS(Weekly_Log!$K$2:$K$111,Weekly_Log!$B$2:$B$111,"Cinematic Videos",Weekly_Log!$A$2:$A$111,$B$5)</f>
        <v>1</v>
      </c>
    </row>
    <row r="13" customFormat="false" ht="15" hidden="false" customHeight="false" outlineLevel="0" collapsed="false">
      <c r="A13" s="8" t="s">
        <v>13</v>
      </c>
      <c r="B13" s="9" t="n">
        <f aca="false">SUMIFS(Weekly_Log!$L$2:$L$111,Weekly_Log!$B$2:$B$111,"Cinematic Videos",Weekly_Log!$A$2:$A$111,$B$5)</f>
        <v>1</v>
      </c>
    </row>
    <row r="14" customFormat="false" ht="15" hidden="false" customHeight="false" outlineLevel="0" collapsed="false">
      <c r="A14" s="8" t="s">
        <v>14</v>
      </c>
      <c r="B14" s="9" t="n">
        <f aca="false">SUMIFS(Weekly_Log!$M$2:$M$111,Weekly_Log!$B$2:$B$111,"Cinematic Videos",Weekly_Log!$A$2:$A$111,$B$5)</f>
        <v>1</v>
      </c>
    </row>
    <row r="15" customFormat="false" ht="15" hidden="false" customHeight="false" outlineLevel="0" collapsed="false">
      <c r="A15" s="8" t="s">
        <v>15</v>
      </c>
      <c r="B15" s="9" t="n">
        <f aca="false">SUMIFS(Weekly_Log!$N$2:$N$111,Weekly_Log!$B$2:$B$111,"Cinematic Videos",Weekly_Log!$A$2:$A$111,$B$5)</f>
        <v>0</v>
      </c>
    </row>
    <row r="16" customFormat="false" ht="15" hidden="false" customHeight="false" outlineLevel="0" collapsed="false">
      <c r="A16" s="8" t="s">
        <v>16</v>
      </c>
      <c r="B16" s="9" t="n">
        <f aca="false">SUMIFS(Weekly_Log!$O$2:$O$111,Weekly_Log!$B$2:$B$111,"Cinematic Videos",Weekly_Log!$A$2:$A$111,$B$5)</f>
        <v>1</v>
      </c>
    </row>
    <row r="17" customFormat="false" ht="15" hidden="false" customHeight="false" outlineLevel="0" collapsed="false">
      <c r="A17" s="8" t="s">
        <v>17</v>
      </c>
      <c r="B17" s="9" t="n">
        <f aca="false">SUMIFS(Weekly_Log!$P$2:$P$111,Weekly_Log!$B$2:$B$111,"Cinematic Videos",Weekly_Log!$A$2:$A$111,$B$5)</f>
        <v>0</v>
      </c>
    </row>
    <row r="18" customFormat="false" ht="15" hidden="false" customHeight="false" outlineLevel="0" collapsed="false">
      <c r="A18" s="8" t="s">
        <v>18</v>
      </c>
      <c r="B18" s="9" t="n">
        <f aca="false">SUMIFS(Weekly_Log!$Q$2:$Q$111,Weekly_Log!$B$2:$B$111,"Cinematic Videos",Weekly_Log!$A$2:$A$111,$B$5)</f>
        <v>0</v>
      </c>
    </row>
    <row r="19" customFormat="false" ht="15" hidden="false" customHeight="false" outlineLevel="0" collapsed="false">
      <c r="A19" s="8" t="s">
        <v>19</v>
      </c>
      <c r="B19" s="10" t="n">
        <f aca="false">SUMIFS(Weekly_Log!$R$2:$R$111,Weekly_Log!$B$2:$B$111,"Cinematic Videos",Weekly_Log!$A$2:$A$111,$B$5)</f>
        <v>0</v>
      </c>
    </row>
    <row r="20" customFormat="false" ht="15" hidden="false" customHeight="false" outlineLevel="0" collapsed="false">
      <c r="A20" s="8" t="s">
        <v>20</v>
      </c>
      <c r="B20" s="10" t="n">
        <f aca="false">SUMIFS(Weekly_Log!$S$2:$S$111,Weekly_Log!$B$2:$B$111,"Cinematic Videos",Weekly_Log!$A$2:$A$111,$B$5)</f>
        <v>900</v>
      </c>
    </row>
    <row r="21" customFormat="false" ht="15" hidden="false" customHeight="false" outlineLevel="0" collapsed="false">
      <c r="A21" s="8" t="s">
        <v>21</v>
      </c>
      <c r="B21" s="10" t="n">
        <f aca="false">SUMIFS(Weekly_Log!$T$2:$T$111,Weekly_Log!$B$2:$B$111,"Cinematic Videos",Weekly_Log!$A$2:$A$111,$B$5)</f>
        <v>900</v>
      </c>
    </row>
    <row r="22" customFormat="false" ht="15" hidden="false" customHeight="false" outlineLevel="0" collapsed="false">
      <c r="A22" s="8" t="s">
        <v>22</v>
      </c>
      <c r="B22" s="9" t="n">
        <f aca="false">SUMIFS(Weekly_Log!$U$2:$U$111,Weekly_Log!$B$2:$B$111,"Cinematic Videos",Weekly_Log!$A$2:$A$111,$B$5)</f>
        <v>1</v>
      </c>
    </row>
    <row r="23" customFormat="false" ht="15" hidden="false" customHeight="false" outlineLevel="0" collapsed="false">
      <c r="A23" s="8" t="s">
        <v>23</v>
      </c>
      <c r="B23" s="9" t="n">
        <f aca="false">SUMIFS(Weekly_Log!$V$2:$V$111,Weekly_Log!$B$2:$B$111,"Cinematic Videos",Weekly_Log!$A$2:$A$111,$B$5)</f>
        <v>0</v>
      </c>
    </row>
    <row r="25" customFormat="false" ht="15" hidden="false" customHeight="false" outlineLevel="0" collapsed="false">
      <c r="A25" s="7" t="s">
        <v>24</v>
      </c>
      <c r="B25" s="7"/>
    </row>
    <row r="26" customFormat="false" ht="15" hidden="false" customHeight="false" outlineLevel="0" collapsed="false">
      <c r="A26" s="8" t="s">
        <v>8</v>
      </c>
      <c r="B26" s="9" t="n">
        <f aca="true">SUMIFS(Weekly_Log!$G$2:$G$111,Weekly_Log!$B$2:$B$111,"Cinematic Videos",Weekly_Log!$A$2:$A$111,"&gt;="&amp;EOMONTH(TODAY(),-1)+1,Weekly_Log!$A$2:$A$111,"&lt;="&amp;EOMONTH(TODAY(),0))</f>
        <v>2</v>
      </c>
    </row>
    <row r="27" customFormat="false" ht="15" hidden="false" customHeight="false" outlineLevel="0" collapsed="false">
      <c r="A27" s="8" t="s">
        <v>9</v>
      </c>
      <c r="B27" s="9" t="n">
        <f aca="true">SUMIFS(Weekly_Log!$H$2:$H$111,Weekly_Log!$B$2:$B$111,"Cinematic Videos",Weekly_Log!$A$2:$A$111,"&gt;="&amp;EOMONTH(TODAY(),-1)+1,Weekly_Log!$A$2:$A$111,"&lt;="&amp;EOMONTH(TODAY(),0))</f>
        <v>6</v>
      </c>
    </row>
    <row r="28" customFormat="false" ht="15" hidden="false" customHeight="false" outlineLevel="0" collapsed="false">
      <c r="A28" s="8" t="s">
        <v>10</v>
      </c>
      <c r="B28" s="9" t="n">
        <f aca="true">SUMIFS(Weekly_Log!$I$2:$I$111,Weekly_Log!$B$2:$B$111,"Cinematic Videos",Weekly_Log!$A$2:$A$111,"&gt;="&amp;EOMONTH(TODAY(),-1)+1,Weekly_Log!$A$2:$A$111,"&lt;="&amp;EOMONTH(TODAY(),0))</f>
        <v>2</v>
      </c>
    </row>
    <row r="29" customFormat="false" ht="15" hidden="false" customHeight="false" outlineLevel="0" collapsed="false">
      <c r="A29" s="8" t="s">
        <v>11</v>
      </c>
      <c r="B29" s="9" t="n">
        <f aca="true">SUMIFS(Weekly_Log!$J$2:$J$111,Weekly_Log!$B$2:$B$111,"Cinematic Videos",Weekly_Log!$A$2:$A$111,"&gt;="&amp;EOMONTH(TODAY(),-1)+1,Weekly_Log!$A$2:$A$111,"&lt;="&amp;EOMONTH(TODAY(),0))</f>
        <v>1</v>
      </c>
    </row>
    <row r="30" customFormat="false" ht="15" hidden="false" customHeight="false" outlineLevel="0" collapsed="false">
      <c r="A30" s="8" t="s">
        <v>12</v>
      </c>
      <c r="B30" s="9" t="n">
        <f aca="true">SUMIFS(Weekly_Log!$K$2:$K$111,Weekly_Log!$B$2:$B$111,"Cinematic Videos",Weekly_Log!$A$2:$A$111,"&gt;="&amp;EOMONTH(TODAY(),-1)+1,Weekly_Log!$A$2:$A$111,"&lt;="&amp;EOMONTH(TODAY(),0))</f>
        <v>1</v>
      </c>
    </row>
    <row r="31" customFormat="false" ht="15" hidden="false" customHeight="false" outlineLevel="0" collapsed="false">
      <c r="A31" s="8" t="s">
        <v>13</v>
      </c>
      <c r="B31" s="9" t="n">
        <f aca="true">SUMIFS(Weekly_Log!$L$2:$L$111,Weekly_Log!$B$2:$B$111,"Cinematic Videos",Weekly_Log!$A$2:$A$111,"&gt;="&amp;EOMONTH(TODAY(),-1)+1,Weekly_Log!$A$2:$A$111,"&lt;="&amp;EOMONTH(TODAY(),0))</f>
        <v>1</v>
      </c>
    </row>
    <row r="32" customFormat="false" ht="15" hidden="false" customHeight="false" outlineLevel="0" collapsed="false">
      <c r="A32" s="8" t="s">
        <v>14</v>
      </c>
      <c r="B32" s="9" t="n">
        <f aca="true">SUMIFS(Weekly_Log!$M$2:$M$111,Weekly_Log!$B$2:$B$111,"Cinematic Videos",Weekly_Log!$A$2:$A$111,"&gt;="&amp;EOMONTH(TODAY(),-1)+1,Weekly_Log!$A$2:$A$111,"&lt;="&amp;EOMONTH(TODAY(),0))</f>
        <v>1</v>
      </c>
    </row>
    <row r="33" customFormat="false" ht="15" hidden="false" customHeight="false" outlineLevel="0" collapsed="false">
      <c r="A33" s="8" t="s">
        <v>15</v>
      </c>
      <c r="B33" s="9" t="n">
        <f aca="true">SUMIFS(Weekly_Log!$N$2:$N$111,Weekly_Log!$B$2:$B$111,"Cinematic Videos",Weekly_Log!$A$2:$A$111,"&gt;="&amp;EOMONTH(TODAY(),-1)+1,Weekly_Log!$A$2:$A$111,"&lt;="&amp;EOMONTH(TODAY(),0))</f>
        <v>0</v>
      </c>
    </row>
    <row r="34" customFormat="false" ht="15" hidden="false" customHeight="false" outlineLevel="0" collapsed="false">
      <c r="A34" s="8" t="s">
        <v>16</v>
      </c>
      <c r="B34" s="9" t="n">
        <f aca="true">SUMIFS(Weekly_Log!$O$2:$O$111,Weekly_Log!$B$2:$B$111,"Cinematic Videos",Weekly_Log!$A$2:$A$111,"&gt;="&amp;EOMONTH(TODAY(),-1)+1,Weekly_Log!$A$2:$A$111,"&lt;="&amp;EOMONTH(TODAY(),0))</f>
        <v>1</v>
      </c>
    </row>
    <row r="35" customFormat="false" ht="15" hidden="false" customHeight="false" outlineLevel="0" collapsed="false">
      <c r="A35" s="8" t="s">
        <v>17</v>
      </c>
      <c r="B35" s="9" t="n">
        <f aca="true">SUMIFS(Weekly_Log!$P$2:$P$111,Weekly_Log!$B$2:$B$111,"Cinematic Videos",Weekly_Log!$A$2:$A$111,"&gt;="&amp;EOMONTH(TODAY(),-1)+1,Weekly_Log!$A$2:$A$111,"&lt;="&amp;EOMONTH(TODAY(),0))</f>
        <v>0</v>
      </c>
    </row>
    <row r="36" customFormat="false" ht="15" hidden="false" customHeight="false" outlineLevel="0" collapsed="false">
      <c r="A36" s="8" t="s">
        <v>18</v>
      </c>
      <c r="B36" s="9" t="n">
        <f aca="true">SUMIFS(Weekly_Log!$Q$2:$Q$111,Weekly_Log!$B$2:$B$111,"Cinematic Videos",Weekly_Log!$A$2:$A$111,"&gt;="&amp;EOMONTH(TODAY(),-1)+1,Weekly_Log!$A$2:$A$111,"&lt;="&amp;EOMONTH(TODAY(),0))</f>
        <v>0</v>
      </c>
    </row>
    <row r="37" customFormat="false" ht="15" hidden="false" customHeight="false" outlineLevel="0" collapsed="false">
      <c r="A37" s="8" t="s">
        <v>19</v>
      </c>
      <c r="B37" s="10" t="n">
        <f aca="true">SUMIFS(Weekly_Log!$R$2:$R$111,Weekly_Log!$B$2:$B$111,"Cinematic Videos",Weekly_Log!$A$2:$A$111,"&gt;="&amp;EOMONTH(TODAY(),-1)+1,Weekly_Log!$A$2:$A$111,"&lt;="&amp;EOMONTH(TODAY(),0))</f>
        <v>0</v>
      </c>
    </row>
    <row r="38" customFormat="false" ht="15" hidden="false" customHeight="false" outlineLevel="0" collapsed="false">
      <c r="A38" s="8" t="s">
        <v>20</v>
      </c>
      <c r="B38" s="10" t="n">
        <f aca="true">SUMIFS(Weekly_Log!$S$2:$S$111,Weekly_Log!$B$2:$B$111,"Cinematic Videos",Weekly_Log!$A$2:$A$111,"&gt;="&amp;EOMONTH(TODAY(),-1)+1,Weekly_Log!$A$2:$A$111,"&lt;="&amp;EOMONTH(TODAY(),0))</f>
        <v>900</v>
      </c>
    </row>
    <row r="39" customFormat="false" ht="15" hidden="false" customHeight="false" outlineLevel="0" collapsed="false">
      <c r="A39" s="8" t="s">
        <v>21</v>
      </c>
      <c r="B39" s="10" t="n">
        <f aca="true">SUMIFS(Weekly_Log!$T$2:$T$111,Weekly_Log!$B$2:$B$111,"Cinematic Videos",Weekly_Log!$A$2:$A$111,"&gt;="&amp;EOMONTH(TODAY(),-1)+1,Weekly_Log!$A$2:$A$111,"&lt;="&amp;EOMONTH(TODAY(),0))</f>
        <v>900</v>
      </c>
    </row>
    <row r="40" customFormat="false" ht="15" hidden="false" customHeight="false" outlineLevel="0" collapsed="false">
      <c r="A40" s="8" t="s">
        <v>22</v>
      </c>
      <c r="B40" s="9" t="n">
        <f aca="true">SUMIFS(Weekly_Log!$U$2:$U$111,Weekly_Log!$B$2:$B$111,"Cinematic Videos",Weekly_Log!$A$2:$A$111,"&gt;="&amp;EOMONTH(TODAY(),-1)+1,Weekly_Log!$A$2:$A$111,"&lt;="&amp;EOMONTH(TODAY(),0))</f>
        <v>1</v>
      </c>
    </row>
    <row r="41" customFormat="false" ht="15" hidden="false" customHeight="false" outlineLevel="0" collapsed="false">
      <c r="A41" s="8" t="s">
        <v>23</v>
      </c>
      <c r="B41" s="9" t="n">
        <f aca="true">SUMIFS(Weekly_Log!$V$2:$V$111,Weekly_Log!$B$2:$B$111,"Cinematic Videos",Weekly_Log!$A$2:$A$111,"&gt;="&amp;EOMONTH(TODAY(),-1)+1,Weekly_Log!$A$2:$A$111,"&lt;="&amp;EOMONTH(TODAY(),0))</f>
        <v>0</v>
      </c>
    </row>
    <row r="43" customFormat="false" ht="15" hidden="false" customHeight="false" outlineLevel="0" collapsed="false">
      <c r="A43" s="7" t="s">
        <v>25</v>
      </c>
      <c r="B43" s="7"/>
    </row>
    <row r="44" customFormat="false" ht="15" hidden="false" customHeight="false" outlineLevel="0" collapsed="false">
      <c r="A44" s="8" t="s">
        <v>34</v>
      </c>
      <c r="B44" s="11" t="n">
        <v>4500</v>
      </c>
    </row>
    <row r="45" customFormat="false" ht="15" hidden="false" customHeight="false" outlineLevel="0" collapsed="false">
      <c r="A45" s="8" t="s">
        <v>35</v>
      </c>
      <c r="B45" s="12" t="n">
        <f aca="false">IFERROR($B$37/$B$44,0)</f>
        <v>0</v>
      </c>
    </row>
  </sheetData>
  <mergeCells count="5">
    <mergeCell ref="A1:C1"/>
    <mergeCell ref="A2:C2"/>
    <mergeCell ref="A7:B7"/>
    <mergeCell ref="A25:B25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W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26"/>
  </cols>
  <sheetData>
    <row r="1" customFormat="false" ht="31.5" hidden="false" customHeight="true" outlineLevel="0" collapsed="false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  <c r="I1" s="13" t="s">
        <v>44</v>
      </c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49</v>
      </c>
      <c r="O1" s="13" t="s">
        <v>50</v>
      </c>
      <c r="P1" s="13" t="s">
        <v>51</v>
      </c>
      <c r="Q1" s="13" t="s">
        <v>52</v>
      </c>
      <c r="R1" s="13" t="s">
        <v>53</v>
      </c>
      <c r="S1" s="13" t="s">
        <v>54</v>
      </c>
      <c r="T1" s="13" t="s">
        <v>55</v>
      </c>
      <c r="U1" s="13" t="s">
        <v>56</v>
      </c>
      <c r="V1" s="13" t="s">
        <v>57</v>
      </c>
      <c r="W1" s="13" t="s">
        <v>58</v>
      </c>
    </row>
    <row r="2" customFormat="false" ht="15" hidden="false" customHeight="false" outlineLevel="0" collapsed="false">
      <c r="A2" s="14" t="n">
        <v>46265</v>
      </c>
      <c r="B2" s="15" t="s">
        <v>28</v>
      </c>
      <c r="C2" s="15" t="s">
        <v>59</v>
      </c>
      <c r="D2" s="15" t="s">
        <v>60</v>
      </c>
      <c r="E2" s="15" t="s">
        <v>61</v>
      </c>
      <c r="F2" s="15" t="s">
        <v>62</v>
      </c>
      <c r="G2" s="15" t="n">
        <v>3</v>
      </c>
      <c r="H2" s="15" t="n">
        <v>8</v>
      </c>
      <c r="I2" s="15" t="n">
        <v>4</v>
      </c>
      <c r="J2" s="15" t="n">
        <v>2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0</v>
      </c>
      <c r="P2" s="15" t="n">
        <v>0</v>
      </c>
      <c r="Q2" s="15" t="n">
        <v>0</v>
      </c>
      <c r="R2" s="16" t="n">
        <v>0</v>
      </c>
      <c r="S2" s="16" t="n">
        <v>0</v>
      </c>
      <c r="T2" s="16" t="n">
        <v>0</v>
      </c>
      <c r="U2" s="15" t="n">
        <v>1</v>
      </c>
      <c r="V2" s="15" t="n">
        <v>0</v>
      </c>
      <c r="W2" s="15" t="s">
        <v>63</v>
      </c>
    </row>
    <row r="3" customFormat="false" ht="15" hidden="false" customHeight="false" outlineLevel="0" collapsed="false">
      <c r="A3" s="14" t="n">
        <v>46272</v>
      </c>
      <c r="B3" s="15" t="s">
        <v>32</v>
      </c>
      <c r="C3" s="15" t="s">
        <v>64</v>
      </c>
      <c r="D3" s="15" t="s">
        <v>65</v>
      </c>
      <c r="E3" s="15" t="s">
        <v>66</v>
      </c>
      <c r="F3" s="15" t="s">
        <v>62</v>
      </c>
      <c r="G3" s="15" t="n">
        <v>2</v>
      </c>
      <c r="H3" s="15" t="n">
        <v>6</v>
      </c>
      <c r="I3" s="15" t="n">
        <v>2</v>
      </c>
      <c r="J3" s="15" t="n">
        <v>1</v>
      </c>
      <c r="K3" s="15" t="n">
        <v>1</v>
      </c>
      <c r="L3" s="15" t="n">
        <v>1</v>
      </c>
      <c r="M3" s="15" t="n">
        <v>1</v>
      </c>
      <c r="N3" s="15" t="n">
        <v>0</v>
      </c>
      <c r="O3" s="15" t="n">
        <v>1</v>
      </c>
      <c r="P3" s="15" t="n">
        <v>0</v>
      </c>
      <c r="Q3" s="15" t="n">
        <v>0</v>
      </c>
      <c r="R3" s="16" t="n">
        <v>0</v>
      </c>
      <c r="S3" s="16" t="n">
        <v>900</v>
      </c>
      <c r="T3" s="16" t="n">
        <v>900</v>
      </c>
      <c r="U3" s="15" t="n">
        <v>1</v>
      </c>
      <c r="V3" s="15" t="n">
        <v>0</v>
      </c>
      <c r="W3" s="15" t="s">
        <v>67</v>
      </c>
    </row>
    <row r="4" customFormat="false" ht="15" hidden="false" customHeight="false" outlineLevel="0" collapsed="false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6"/>
      <c r="T4" s="16"/>
      <c r="U4" s="15"/>
      <c r="V4" s="15"/>
      <c r="W4" s="15"/>
    </row>
    <row r="5" customFormat="false" ht="15" hidden="false" customHeight="false" outlineLevel="0" collapsed="false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6"/>
      <c r="T5" s="16"/>
      <c r="U5" s="15"/>
      <c r="V5" s="15"/>
      <c r="W5" s="15"/>
    </row>
    <row r="6" customFormat="false" ht="15" hidden="false" customHeight="false" outlineLevel="0" collapsed="false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  <c r="S6" s="16"/>
      <c r="T6" s="16"/>
      <c r="U6" s="15"/>
      <c r="V6" s="15"/>
      <c r="W6" s="15"/>
    </row>
    <row r="7" customFormat="false" ht="15" hidden="false" customHeight="false" outlineLevel="0" collapsed="false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6"/>
      <c r="T7" s="16"/>
      <c r="U7" s="15"/>
      <c r="V7" s="15"/>
      <c r="W7" s="15"/>
    </row>
    <row r="8" customFormat="false" ht="15" hidden="false" customHeight="fals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6"/>
      <c r="T8" s="16"/>
      <c r="U8" s="15"/>
      <c r="V8" s="15"/>
      <c r="W8" s="15"/>
    </row>
    <row r="9" customFormat="false" ht="15" hidden="false" customHeight="false" outlineLevel="0" collapsed="false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S9" s="16"/>
      <c r="T9" s="16"/>
      <c r="U9" s="15"/>
      <c r="V9" s="15"/>
      <c r="W9" s="15"/>
    </row>
    <row r="10" customFormat="false" ht="15" hidden="false" customHeight="false" outlineLevel="0" collapsed="false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6"/>
      <c r="T10" s="16"/>
      <c r="U10" s="15"/>
      <c r="V10" s="15"/>
      <c r="W10" s="15"/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6"/>
      <c r="T11" s="16"/>
      <c r="U11" s="15"/>
      <c r="V11" s="15"/>
      <c r="W11" s="15"/>
    </row>
    <row r="12" customFormat="false" ht="15" hidden="false" customHeight="false" outlineLevel="0" collapsed="false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6"/>
      <c r="T12" s="16"/>
      <c r="U12" s="15"/>
      <c r="V12" s="15"/>
      <c r="W12" s="15"/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6"/>
      <c r="S13" s="16"/>
      <c r="T13" s="16"/>
      <c r="U13" s="15"/>
      <c r="V13" s="15"/>
      <c r="W13" s="15"/>
    </row>
    <row r="14" customFormat="false" ht="15" hidden="false" customHeight="false" outlineLevel="0" collapsed="false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6"/>
      <c r="T14" s="16"/>
      <c r="U14" s="15"/>
      <c r="V14" s="15"/>
      <c r="W14" s="15"/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6"/>
      <c r="T15" s="16"/>
      <c r="U15" s="15"/>
      <c r="V15" s="15"/>
      <c r="W15" s="15"/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  <c r="S16" s="16"/>
      <c r="T16" s="16"/>
      <c r="U16" s="15"/>
      <c r="V16" s="15"/>
      <c r="W16" s="15"/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  <c r="S17" s="16"/>
      <c r="T17" s="16"/>
      <c r="U17" s="15"/>
      <c r="V17" s="15"/>
      <c r="W17" s="15"/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/>
      <c r="S18" s="16"/>
      <c r="T18" s="16"/>
      <c r="U18" s="15"/>
      <c r="V18" s="15"/>
      <c r="W18" s="15"/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/>
      <c r="S19" s="16"/>
      <c r="T19" s="16"/>
      <c r="U19" s="15"/>
      <c r="V19" s="15"/>
      <c r="W19" s="15"/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/>
      <c r="S20" s="16"/>
      <c r="T20" s="16"/>
      <c r="U20" s="15"/>
      <c r="V20" s="15"/>
      <c r="W20" s="15"/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  <c r="S21" s="16"/>
      <c r="T21" s="16"/>
      <c r="U21" s="15"/>
      <c r="V21" s="15"/>
      <c r="W21" s="15"/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  <c r="S22" s="16"/>
      <c r="T22" s="16"/>
      <c r="U22" s="15"/>
      <c r="V22" s="15"/>
      <c r="W22" s="15"/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/>
      <c r="S23" s="16"/>
      <c r="T23" s="16"/>
      <c r="U23" s="15"/>
      <c r="V23" s="15"/>
      <c r="W23" s="15"/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6"/>
      <c r="S24" s="16"/>
      <c r="T24" s="16"/>
      <c r="U24" s="15"/>
      <c r="V24" s="15"/>
      <c r="W24" s="15"/>
    </row>
    <row r="25" customFormat="false" ht="15" hidden="false" customHeight="false" outlineLevel="0" collapsed="false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  <c r="S25" s="16"/>
      <c r="T25" s="16"/>
      <c r="U25" s="15"/>
      <c r="V25" s="15"/>
      <c r="W25" s="15"/>
    </row>
    <row r="26" customFormat="false" ht="15" hidden="false" customHeight="false" outlineLevel="0" collapsed="false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6"/>
      <c r="S26" s="16"/>
      <c r="T26" s="16"/>
      <c r="U26" s="15"/>
      <c r="V26" s="15"/>
      <c r="W26" s="15"/>
    </row>
    <row r="27" customFormat="false" ht="15" hidden="false" customHeight="false" outlineLevel="0" collapsed="false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S27" s="16"/>
      <c r="T27" s="16"/>
      <c r="U27" s="15"/>
      <c r="V27" s="15"/>
      <c r="W27" s="15"/>
    </row>
    <row r="28" customFormat="false" ht="15" hidden="false" customHeight="false" outlineLevel="0" collapsed="false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6"/>
      <c r="S28" s="16"/>
      <c r="T28" s="16"/>
      <c r="U28" s="15"/>
      <c r="V28" s="15"/>
      <c r="W28" s="15"/>
    </row>
    <row r="29" customFormat="false" ht="15" hidden="false" customHeight="false" outlineLevel="0" collapsed="false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  <c r="S29" s="16"/>
      <c r="T29" s="16"/>
      <c r="U29" s="15"/>
      <c r="V29" s="15"/>
      <c r="W29" s="15"/>
    </row>
    <row r="30" customFormat="false" ht="15" hidden="false" customHeight="false" outlineLevel="0" collapsed="false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6"/>
      <c r="S30" s="16"/>
      <c r="T30" s="16"/>
      <c r="U30" s="15"/>
      <c r="V30" s="15"/>
      <c r="W30" s="15"/>
    </row>
    <row r="31" customFormat="false" ht="15" hidden="false" customHeight="false" outlineLevel="0" collapsed="false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6"/>
      <c r="S31" s="16"/>
      <c r="T31" s="16"/>
      <c r="U31" s="15"/>
      <c r="V31" s="15"/>
      <c r="W31" s="15"/>
    </row>
    <row r="32" customFormat="false" ht="15" hidden="false" customHeight="false" outlineLevel="0" collapsed="false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6"/>
      <c r="S32" s="16"/>
      <c r="T32" s="16"/>
      <c r="U32" s="15"/>
      <c r="V32" s="15"/>
      <c r="W32" s="15"/>
    </row>
    <row r="33" customFormat="false" ht="15" hidden="false" customHeight="false" outlineLevel="0" collapsed="false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/>
      <c r="S33" s="16"/>
      <c r="T33" s="16"/>
      <c r="U33" s="15"/>
      <c r="V33" s="15"/>
      <c r="W33" s="15"/>
    </row>
    <row r="34" customFormat="false" ht="15" hidden="false" customHeight="false" outlineLevel="0" collapsed="false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6"/>
      <c r="S34" s="16"/>
      <c r="T34" s="16"/>
      <c r="U34" s="15"/>
      <c r="V34" s="15"/>
      <c r="W34" s="15"/>
    </row>
    <row r="35" customFormat="false" ht="15" hidden="false" customHeight="false" outlineLevel="0" collapsed="false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6"/>
      <c r="S35" s="16"/>
      <c r="T35" s="16"/>
      <c r="U35" s="15"/>
      <c r="V35" s="15"/>
      <c r="W35" s="15"/>
    </row>
    <row r="36" customFormat="false" ht="15" hidden="false" customHeight="false" outlineLevel="0" collapsed="false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/>
      <c r="S36" s="16"/>
      <c r="T36" s="16"/>
      <c r="U36" s="15"/>
      <c r="V36" s="15"/>
      <c r="W36" s="15"/>
    </row>
    <row r="37" customFormat="false" ht="15" hidden="false" customHeight="false" outlineLevel="0" collapsed="false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6"/>
      <c r="T37" s="16"/>
      <c r="U37" s="15"/>
      <c r="V37" s="15"/>
      <c r="W37" s="15"/>
    </row>
    <row r="38" customFormat="false" ht="15" hidden="false" customHeight="false" outlineLevel="0" collapsed="false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  <c r="S38" s="16"/>
      <c r="T38" s="16"/>
      <c r="U38" s="15"/>
      <c r="V38" s="15"/>
      <c r="W38" s="15"/>
    </row>
    <row r="39" customFormat="false" ht="15" hidden="false" customHeight="false" outlineLevel="0" collapsed="false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6"/>
      <c r="S39" s="16"/>
      <c r="T39" s="16"/>
      <c r="U39" s="15"/>
      <c r="V39" s="15"/>
      <c r="W39" s="15"/>
    </row>
    <row r="40" customFormat="false" ht="15" hidden="false" customHeight="false" outlineLevel="0" collapsed="false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6"/>
      <c r="S40" s="16"/>
      <c r="T40" s="16"/>
      <c r="U40" s="15"/>
      <c r="V40" s="15"/>
      <c r="W40" s="15"/>
    </row>
    <row r="41" customFormat="false" ht="15" hidden="false" customHeight="false" outlineLevel="0" collapsed="false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6"/>
      <c r="S41" s="16"/>
      <c r="T41" s="16"/>
      <c r="U41" s="15"/>
      <c r="V41" s="15"/>
      <c r="W41" s="15"/>
    </row>
    <row r="42" customFormat="false" ht="15" hidden="false" customHeight="false" outlineLevel="0" collapsed="false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6"/>
      <c r="T42" s="16"/>
      <c r="U42" s="15"/>
      <c r="V42" s="15"/>
      <c r="W42" s="15"/>
    </row>
    <row r="43" customFormat="false" ht="15" hidden="false" customHeight="false" outlineLevel="0" collapsed="false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6"/>
      <c r="S43" s="16"/>
      <c r="T43" s="16"/>
      <c r="U43" s="15"/>
      <c r="V43" s="15"/>
      <c r="W43" s="15"/>
    </row>
    <row r="44" customFormat="false" ht="15" hidden="false" customHeight="false" outlineLevel="0" collapsed="false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6"/>
      <c r="S44" s="16"/>
      <c r="T44" s="16"/>
      <c r="U44" s="15"/>
      <c r="V44" s="15"/>
      <c r="W44" s="15"/>
    </row>
    <row r="45" customFormat="false" ht="15" hidden="false" customHeight="false" outlineLevel="0" collapsed="false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/>
      <c r="S45" s="16"/>
      <c r="T45" s="16"/>
      <c r="U45" s="15"/>
      <c r="V45" s="15"/>
      <c r="W45" s="15"/>
    </row>
    <row r="46" customFormat="false" ht="15" hidden="false" customHeight="false" outlineLevel="0" collapsed="false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6"/>
      <c r="S46" s="16"/>
      <c r="T46" s="16"/>
      <c r="U46" s="15"/>
      <c r="V46" s="15"/>
      <c r="W46" s="15"/>
    </row>
    <row r="47" customFormat="false" ht="15" hidden="false" customHeight="false" outlineLevel="0" collapsed="false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6"/>
      <c r="S47" s="16"/>
      <c r="T47" s="16"/>
      <c r="U47" s="15"/>
      <c r="V47" s="15"/>
      <c r="W47" s="15"/>
    </row>
    <row r="48" customFormat="false" ht="15" hidden="false" customHeight="false" outlineLevel="0" collapsed="false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6"/>
      <c r="S48" s="16"/>
      <c r="T48" s="16"/>
      <c r="U48" s="15"/>
      <c r="V48" s="15"/>
      <c r="W48" s="15"/>
    </row>
    <row r="49" customFormat="false" ht="15" hidden="false" customHeight="false" outlineLevel="0" collapsed="false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6"/>
      <c r="S49" s="16"/>
      <c r="T49" s="16"/>
      <c r="U49" s="15"/>
      <c r="V49" s="15"/>
      <c r="W49" s="15"/>
    </row>
    <row r="50" customFormat="false" ht="15" hidden="false" customHeight="false" outlineLevel="0" collapsed="false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6"/>
      <c r="S50" s="16"/>
      <c r="T50" s="16"/>
      <c r="U50" s="15"/>
      <c r="V50" s="15"/>
      <c r="W50" s="15"/>
    </row>
    <row r="51" customFormat="false" ht="15" hidden="false" customHeight="false" outlineLevel="0" collapsed="false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6"/>
      <c r="S51" s="16"/>
      <c r="T51" s="16"/>
      <c r="U51" s="15"/>
      <c r="V51" s="15"/>
      <c r="W51" s="15"/>
    </row>
    <row r="52" customFormat="false" ht="15" hidden="false" customHeight="false" outlineLevel="0" collapsed="false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/>
      <c r="S52" s="16"/>
      <c r="T52" s="16"/>
      <c r="U52" s="15"/>
      <c r="V52" s="15"/>
      <c r="W52" s="15"/>
    </row>
    <row r="53" customFormat="false" ht="15" hidden="false" customHeight="false" outlineLevel="0" collapsed="false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6"/>
      <c r="S53" s="16"/>
      <c r="T53" s="16"/>
      <c r="U53" s="15"/>
      <c r="V53" s="15"/>
      <c r="W53" s="15"/>
    </row>
    <row r="54" customFormat="false" ht="15" hidden="false" customHeight="false" outlineLevel="0" collapsed="false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6"/>
      <c r="S54" s="16"/>
      <c r="T54" s="16"/>
      <c r="U54" s="15"/>
      <c r="V54" s="15"/>
      <c r="W54" s="15"/>
    </row>
    <row r="55" customFormat="false" ht="15" hidden="false" customHeight="false" outlineLevel="0" collapsed="false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/>
      <c r="S55" s="16"/>
      <c r="T55" s="16"/>
      <c r="U55" s="15"/>
      <c r="V55" s="15"/>
      <c r="W55" s="15"/>
    </row>
    <row r="56" customFormat="false" ht="15" hidden="false" customHeight="false" outlineLevel="0" collapsed="false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6"/>
      <c r="S56" s="16"/>
      <c r="T56" s="16"/>
      <c r="U56" s="15"/>
      <c r="V56" s="15"/>
      <c r="W56" s="15"/>
    </row>
    <row r="57" customFormat="false" ht="15" hidden="false" customHeight="false" outlineLevel="0" collapsed="false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/>
      <c r="S57" s="16"/>
      <c r="T57" s="16"/>
      <c r="U57" s="15"/>
      <c r="V57" s="15"/>
      <c r="W57" s="15"/>
    </row>
    <row r="58" customFormat="false" ht="15" hidden="false" customHeight="false" outlineLevel="0" collapsed="false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6"/>
      <c r="S58" s="16"/>
      <c r="T58" s="16"/>
      <c r="U58" s="15"/>
      <c r="V58" s="15"/>
      <c r="W58" s="15"/>
    </row>
    <row r="59" customFormat="false" ht="15" hidden="false" customHeight="false" outlineLevel="0" collapsed="false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6"/>
      <c r="S59" s="16"/>
      <c r="T59" s="16"/>
      <c r="U59" s="15"/>
      <c r="V59" s="15"/>
      <c r="W59" s="15"/>
    </row>
    <row r="60" customFormat="false" ht="15" hidden="false" customHeight="false" outlineLevel="0" collapsed="false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6"/>
      <c r="S60" s="16"/>
      <c r="T60" s="16"/>
      <c r="U60" s="15"/>
      <c r="V60" s="15"/>
      <c r="W60" s="15"/>
    </row>
    <row r="61" customFormat="false" ht="15" hidden="false" customHeight="false" outlineLevel="0" collapsed="false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6"/>
      <c r="S61" s="16"/>
      <c r="T61" s="16"/>
      <c r="U61" s="15"/>
      <c r="V61" s="15"/>
      <c r="W61" s="15"/>
    </row>
    <row r="62" customFormat="false" ht="15" hidden="false" customHeight="false" outlineLevel="0" collapsed="false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/>
      <c r="S62" s="16"/>
      <c r="T62" s="16"/>
      <c r="U62" s="15"/>
      <c r="V62" s="15"/>
      <c r="W62" s="15"/>
    </row>
    <row r="63" customFormat="false" ht="15" hidden="false" customHeight="false" outlineLevel="0" collapsed="false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/>
      <c r="S63" s="16"/>
      <c r="T63" s="16"/>
      <c r="U63" s="15"/>
      <c r="V63" s="15"/>
      <c r="W63" s="15"/>
    </row>
    <row r="64" customFormat="false" ht="15" hidden="false" customHeight="false" outlineLevel="0" collapsed="false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6"/>
      <c r="S64" s="16"/>
      <c r="T64" s="16"/>
      <c r="U64" s="15"/>
      <c r="V64" s="15"/>
      <c r="W64" s="15"/>
    </row>
    <row r="65" customFormat="false" ht="15" hidden="false" customHeight="false" outlineLevel="0" collapsed="false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6"/>
      <c r="S65" s="16"/>
      <c r="T65" s="16"/>
      <c r="U65" s="15"/>
      <c r="V65" s="15"/>
      <c r="W65" s="15"/>
    </row>
    <row r="66" customFormat="false" ht="15" hidden="false" customHeight="false" outlineLevel="0" collapsed="false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6"/>
      <c r="S66" s="16"/>
      <c r="T66" s="16"/>
      <c r="U66" s="15"/>
      <c r="V66" s="15"/>
      <c r="W66" s="15"/>
    </row>
    <row r="67" customFormat="false" ht="15" hidden="false" customHeight="false" outlineLevel="0" collapsed="false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/>
      <c r="S67" s="16"/>
      <c r="T67" s="16"/>
      <c r="U67" s="15"/>
      <c r="V67" s="15"/>
      <c r="W67" s="15"/>
    </row>
    <row r="68" customFormat="false" ht="15" hidden="false" customHeight="false" outlineLevel="0" collapsed="false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6"/>
      <c r="S68" s="16"/>
      <c r="T68" s="16"/>
      <c r="U68" s="15"/>
      <c r="V68" s="15"/>
      <c r="W68" s="15"/>
    </row>
    <row r="69" customFormat="false" ht="15" hidden="false" customHeight="false" outlineLevel="0" collapsed="false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6"/>
      <c r="S69" s="16"/>
      <c r="T69" s="16"/>
      <c r="U69" s="15"/>
      <c r="V69" s="15"/>
      <c r="W69" s="15"/>
    </row>
    <row r="70" customFormat="false" ht="15" hidden="false" customHeight="false" outlineLevel="0" collapsed="false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6"/>
      <c r="S70" s="16"/>
      <c r="T70" s="16"/>
      <c r="U70" s="15"/>
      <c r="V70" s="15"/>
      <c r="W70" s="15"/>
    </row>
    <row r="71" customFormat="false" ht="15" hidden="false" customHeight="false" outlineLevel="0" collapsed="false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6"/>
      <c r="S71" s="16"/>
      <c r="T71" s="16"/>
      <c r="U71" s="15"/>
      <c r="V71" s="15"/>
      <c r="W71" s="15"/>
    </row>
    <row r="72" customFormat="false" ht="15" hidden="false" customHeight="false" outlineLevel="0" collapsed="false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6"/>
      <c r="S72" s="16"/>
      <c r="T72" s="16"/>
      <c r="U72" s="15"/>
      <c r="V72" s="15"/>
      <c r="W72" s="15"/>
    </row>
    <row r="73" customFormat="false" ht="15" hidden="false" customHeight="false" outlineLevel="0" collapsed="false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6"/>
      <c r="S73" s="16"/>
      <c r="T73" s="16"/>
      <c r="U73" s="15"/>
      <c r="V73" s="15"/>
      <c r="W73" s="15"/>
    </row>
    <row r="74" customFormat="false" ht="15" hidden="false" customHeight="false" outlineLevel="0" collapsed="false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6"/>
      <c r="S74" s="16"/>
      <c r="T74" s="16"/>
      <c r="U74" s="15"/>
      <c r="V74" s="15"/>
      <c r="W74" s="15"/>
    </row>
    <row r="75" customFormat="false" ht="15" hidden="false" customHeight="false" outlineLevel="0" collapsed="false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/>
      <c r="S75" s="16"/>
      <c r="T75" s="16"/>
      <c r="U75" s="15"/>
      <c r="V75" s="15"/>
      <c r="W75" s="15"/>
    </row>
    <row r="76" customFormat="false" ht="15" hidden="false" customHeight="false" outlineLevel="0" collapsed="false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6"/>
      <c r="S76" s="16"/>
      <c r="T76" s="16"/>
      <c r="U76" s="15"/>
      <c r="V76" s="15"/>
      <c r="W76" s="15"/>
    </row>
    <row r="77" customFormat="false" ht="15" hidden="false" customHeight="false" outlineLevel="0" collapsed="false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/>
      <c r="S77" s="16"/>
      <c r="T77" s="16"/>
      <c r="U77" s="15"/>
      <c r="V77" s="15"/>
      <c r="W77" s="15"/>
    </row>
    <row r="78" customFormat="false" ht="15" hidden="false" customHeight="false" outlineLevel="0" collapsed="false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6"/>
      <c r="S78" s="16"/>
      <c r="T78" s="16"/>
      <c r="U78" s="15"/>
      <c r="V78" s="15"/>
      <c r="W78" s="15"/>
    </row>
    <row r="79" customFormat="false" ht="15" hidden="false" customHeight="false" outlineLevel="0" collapsed="false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/>
      <c r="S79" s="16"/>
      <c r="T79" s="16"/>
      <c r="U79" s="15"/>
      <c r="V79" s="15"/>
      <c r="W79" s="15"/>
    </row>
    <row r="80" customFormat="false" ht="15" hidden="false" customHeight="false" outlineLevel="0" collapsed="false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/>
      <c r="S80" s="16"/>
      <c r="T80" s="16"/>
      <c r="U80" s="15"/>
      <c r="V80" s="15"/>
      <c r="W80" s="15"/>
    </row>
    <row r="81" customFormat="false" ht="15" hidden="false" customHeight="false" outlineLevel="0" collapsed="false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6"/>
      <c r="S81" s="16"/>
      <c r="T81" s="16"/>
      <c r="U81" s="15"/>
      <c r="V81" s="15"/>
      <c r="W81" s="15"/>
    </row>
    <row r="82" customFormat="false" ht="15" hidden="false" customHeight="false" outlineLevel="0" collapsed="false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6"/>
      <c r="S82" s="16"/>
      <c r="T82" s="16"/>
      <c r="U82" s="15"/>
      <c r="V82" s="15"/>
      <c r="W82" s="15"/>
    </row>
    <row r="83" customFormat="false" ht="15" hidden="false" customHeight="false" outlineLevel="0" collapsed="false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6"/>
      <c r="S83" s="16"/>
      <c r="T83" s="16"/>
      <c r="U83" s="15"/>
      <c r="V83" s="15"/>
      <c r="W83" s="15"/>
    </row>
    <row r="84" customFormat="false" ht="15" hidden="false" customHeight="false" outlineLevel="0" collapsed="false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6"/>
      <c r="S84" s="16"/>
      <c r="T84" s="16"/>
      <c r="U84" s="15"/>
      <c r="V84" s="15"/>
      <c r="W84" s="15"/>
    </row>
    <row r="85" customFormat="false" ht="15" hidden="false" customHeight="false" outlineLevel="0" collapsed="false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6"/>
      <c r="S85" s="16"/>
      <c r="T85" s="16"/>
      <c r="U85" s="15"/>
      <c r="V85" s="15"/>
      <c r="W85" s="15"/>
    </row>
    <row r="86" customFormat="false" ht="15" hidden="false" customHeight="false" outlineLevel="0" collapsed="false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6"/>
      <c r="S86" s="16"/>
      <c r="T86" s="16"/>
      <c r="U86" s="15"/>
      <c r="V86" s="15"/>
      <c r="W86" s="15"/>
    </row>
    <row r="87" customFormat="false" ht="15" hidden="false" customHeight="false" outlineLevel="0" collapsed="false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6"/>
      <c r="S87" s="16"/>
      <c r="T87" s="16"/>
      <c r="U87" s="15"/>
      <c r="V87" s="15"/>
      <c r="W87" s="15"/>
    </row>
    <row r="88" customFormat="false" ht="15" hidden="false" customHeight="false" outlineLevel="0" collapsed="false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6"/>
      <c r="S88" s="16"/>
      <c r="T88" s="16"/>
      <c r="U88" s="15"/>
      <c r="V88" s="15"/>
      <c r="W88" s="15"/>
    </row>
    <row r="89" customFormat="false" ht="15" hidden="false" customHeight="false" outlineLevel="0" collapsed="false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/>
      <c r="S89" s="16"/>
      <c r="T89" s="16"/>
      <c r="U89" s="15"/>
      <c r="V89" s="15"/>
      <c r="W89" s="15"/>
    </row>
    <row r="90" customFormat="false" ht="15" hidden="false" customHeight="false" outlineLevel="0" collapsed="false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/>
      <c r="S90" s="16"/>
      <c r="T90" s="16"/>
      <c r="U90" s="15"/>
      <c r="V90" s="15"/>
      <c r="W90" s="15"/>
    </row>
    <row r="91" customFormat="false" ht="15" hidden="false" customHeight="false" outlineLevel="0" collapsed="false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6"/>
      <c r="S91" s="16"/>
      <c r="T91" s="16"/>
      <c r="U91" s="15"/>
      <c r="V91" s="15"/>
      <c r="W91" s="15"/>
    </row>
    <row r="92" customFormat="false" ht="15" hidden="false" customHeight="false" outlineLevel="0" collapsed="false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6"/>
      <c r="S92" s="16"/>
      <c r="T92" s="16"/>
      <c r="U92" s="15"/>
      <c r="V92" s="15"/>
      <c r="W92" s="15"/>
    </row>
    <row r="93" customFormat="false" ht="15" hidden="false" customHeight="false" outlineLevel="0" collapsed="false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6"/>
      <c r="S93" s="16"/>
      <c r="T93" s="16"/>
      <c r="U93" s="15"/>
      <c r="V93" s="15"/>
      <c r="W93" s="15"/>
    </row>
    <row r="94" customFormat="false" ht="15" hidden="false" customHeight="false" outlineLevel="0" collapsed="false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6"/>
      <c r="S94" s="16"/>
      <c r="T94" s="16"/>
      <c r="U94" s="15"/>
      <c r="V94" s="15"/>
      <c r="W94" s="15"/>
    </row>
    <row r="95" customFormat="false" ht="15" hidden="false" customHeight="false" outlineLevel="0" collapsed="false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6"/>
      <c r="S95" s="16"/>
      <c r="T95" s="16"/>
      <c r="U95" s="15"/>
      <c r="V95" s="15"/>
      <c r="W95" s="15"/>
    </row>
    <row r="96" customFormat="false" ht="15" hidden="false" customHeight="false" outlineLevel="0" collapsed="false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6"/>
      <c r="S96" s="16"/>
      <c r="T96" s="16"/>
      <c r="U96" s="15"/>
      <c r="V96" s="15"/>
      <c r="W96" s="15"/>
    </row>
    <row r="97" customFormat="false" ht="15" hidden="false" customHeight="false" outlineLevel="0" collapsed="false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6"/>
      <c r="S97" s="16"/>
      <c r="T97" s="16"/>
      <c r="U97" s="15"/>
      <c r="V97" s="15"/>
      <c r="W97" s="15"/>
    </row>
    <row r="98" customFormat="false" ht="15" hidden="false" customHeight="false" outlineLevel="0" collapsed="false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6"/>
      <c r="S98" s="16"/>
      <c r="T98" s="16"/>
      <c r="U98" s="15"/>
      <c r="V98" s="15"/>
      <c r="W98" s="15"/>
    </row>
    <row r="99" customFormat="false" ht="15" hidden="false" customHeight="false" outlineLevel="0" collapsed="false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6"/>
      <c r="S99" s="16"/>
      <c r="T99" s="16"/>
      <c r="U99" s="15"/>
      <c r="V99" s="15"/>
      <c r="W99" s="15"/>
    </row>
    <row r="100" customFormat="false" ht="15" hidden="false" customHeight="false" outlineLevel="0" collapsed="false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6"/>
      <c r="S100" s="16"/>
      <c r="T100" s="16"/>
      <c r="U100" s="15"/>
      <c r="V100" s="15"/>
      <c r="W100" s="15"/>
    </row>
    <row r="101" customFormat="false" ht="15" hidden="false" customHeight="false" outlineLevel="0" collapsed="false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6"/>
      <c r="S101" s="16"/>
      <c r="T101" s="16"/>
      <c r="U101" s="15"/>
      <c r="V101" s="15"/>
      <c r="W101" s="15"/>
    </row>
    <row r="102" customFormat="false" ht="15" hidden="false" customHeight="false" outlineLevel="0" collapsed="false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6"/>
      <c r="S102" s="16"/>
      <c r="T102" s="16"/>
      <c r="U102" s="15"/>
      <c r="V102" s="15"/>
      <c r="W102" s="15"/>
    </row>
    <row r="103" customFormat="false" ht="15" hidden="false" customHeight="false" outlineLevel="0" collapsed="false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6"/>
      <c r="S103" s="16"/>
      <c r="T103" s="16"/>
      <c r="U103" s="15"/>
      <c r="V103" s="15"/>
      <c r="W103" s="15"/>
    </row>
    <row r="104" customFormat="false" ht="15" hidden="false" customHeight="false" outlineLevel="0" collapsed="false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6"/>
      <c r="S104" s="16"/>
      <c r="T104" s="16"/>
      <c r="U104" s="15"/>
      <c r="V104" s="15"/>
      <c r="W104" s="15"/>
    </row>
    <row r="105" customFormat="false" ht="15" hidden="false" customHeight="false" outlineLevel="0" collapsed="false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6"/>
      <c r="S105" s="16"/>
      <c r="T105" s="16"/>
      <c r="U105" s="15"/>
      <c r="V105" s="15"/>
      <c r="W105" s="15"/>
    </row>
    <row r="106" customFormat="false" ht="15" hidden="false" customHeight="false" outlineLevel="0" collapsed="false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6"/>
      <c r="S106" s="16"/>
      <c r="T106" s="16"/>
      <c r="U106" s="15"/>
      <c r="V106" s="15"/>
      <c r="W106" s="15"/>
    </row>
    <row r="107" customFormat="false" ht="15" hidden="false" customHeight="false" outlineLevel="0" collapsed="false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6"/>
      <c r="S107" s="16"/>
      <c r="T107" s="16"/>
      <c r="U107" s="15"/>
      <c r="V107" s="15"/>
      <c r="W107" s="15"/>
    </row>
    <row r="108" customFormat="false" ht="15" hidden="false" customHeight="false" outlineLevel="0" collapsed="false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6"/>
      <c r="S108" s="16"/>
      <c r="T108" s="16"/>
      <c r="U108" s="15"/>
      <c r="V108" s="15"/>
      <c r="W108" s="15"/>
    </row>
    <row r="109" customFormat="false" ht="15" hidden="false" customHeight="false" outlineLevel="0" collapsed="false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6"/>
      <c r="S109" s="16"/>
      <c r="T109" s="16"/>
      <c r="U109" s="15"/>
      <c r="V109" s="15"/>
      <c r="W109" s="15"/>
    </row>
    <row r="110" customFormat="false" ht="15" hidden="false" customHeight="false" outlineLevel="0" collapsed="false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6"/>
      <c r="S110" s="16"/>
      <c r="T110" s="16"/>
      <c r="U110" s="15"/>
      <c r="V110" s="15"/>
      <c r="W110" s="15"/>
    </row>
    <row r="111" customFormat="false" ht="15" hidden="false" customHeight="false" outlineLevel="0" collapsed="false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6"/>
      <c r="S111" s="16"/>
      <c r="T111" s="16"/>
      <c r="U111" s="15"/>
      <c r="V111" s="15"/>
      <c r="W111" s="15"/>
    </row>
  </sheetData>
  <dataValidations count="3">
    <dataValidation allowBlank="true" errorStyle="stop" operator="between" showDropDown="false" showErrorMessage="false" showInputMessage="false" sqref="B2:B111" type="list">
      <formula1>WVentureList</formula1>
      <formula2>0</formula2>
    </dataValidation>
    <dataValidation allowBlank="true" errorStyle="stop" operator="between" showDropDown="false" showErrorMessage="false" showInputMessage="false" sqref="E2:E111" type="list">
      <formula1>WStageFocusList</formula1>
      <formula2>0</formula2>
    </dataValidation>
    <dataValidation allowBlank="true" errorStyle="stop" operator="between" showDropDown="false" showErrorMessage="false" showInputMessage="false" sqref="F2:F111" type="list">
      <formula1>WTierFocusList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7" t="s">
        <v>37</v>
      </c>
      <c r="B1" s="17" t="s">
        <v>68</v>
      </c>
      <c r="C1" s="17" t="s">
        <v>69</v>
      </c>
      <c r="D1" s="17" t="s">
        <v>70</v>
      </c>
    </row>
    <row r="2" customFormat="false" ht="15" hidden="false" customHeight="false" outlineLevel="0" collapsed="false">
      <c r="A2" s="15" t="s">
        <v>28</v>
      </c>
      <c r="B2" s="15" t="s">
        <v>3</v>
      </c>
      <c r="C2" s="15" t="s">
        <v>71</v>
      </c>
      <c r="D2" s="15" t="s">
        <v>62</v>
      </c>
    </row>
    <row r="3" customFormat="false" ht="15" hidden="false" customHeight="false" outlineLevel="0" collapsed="false">
      <c r="A3" s="15" t="s">
        <v>32</v>
      </c>
      <c r="B3" s="15" t="s">
        <v>28</v>
      </c>
      <c r="C3" s="15" t="s">
        <v>72</v>
      </c>
      <c r="D3" s="15" t="s">
        <v>73</v>
      </c>
    </row>
    <row r="4" customFormat="false" ht="15" hidden="false" customHeight="false" outlineLevel="0" collapsed="false">
      <c r="B4" s="15" t="s">
        <v>32</v>
      </c>
      <c r="C4" s="15" t="s">
        <v>74</v>
      </c>
      <c r="D4" s="15" t="s">
        <v>75</v>
      </c>
    </row>
    <row r="5" customFormat="false" ht="15" hidden="false" customHeight="false" outlineLevel="0" collapsed="false">
      <c r="C5" s="15" t="s">
        <v>76</v>
      </c>
      <c r="D5" s="15" t="s">
        <v>77</v>
      </c>
    </row>
    <row r="6" customFormat="false" ht="15" hidden="false" customHeight="false" outlineLevel="0" collapsed="false">
      <c r="C6" s="15" t="s">
        <v>78</v>
      </c>
    </row>
    <row r="7" customFormat="false" ht="15" hidden="false" customHeight="false" outlineLevel="0" collapsed="false">
      <c r="C7" s="15" t="s">
        <v>79</v>
      </c>
    </row>
    <row r="8" customFormat="false" ht="15" hidden="false" customHeight="false" outlineLevel="0" collapsed="false">
      <c r="C8" s="15" t="s">
        <v>80</v>
      </c>
    </row>
    <row r="9" customFormat="false" ht="15" hidden="false" customHeight="false" outlineLevel="0" collapsed="false">
      <c r="C9" s="15" t="s">
        <v>61</v>
      </c>
    </row>
    <row r="10" customFormat="false" ht="15" hidden="false" customHeight="false" outlineLevel="0" collapsed="false">
      <c r="C10" s="15" t="s">
        <v>66</v>
      </c>
    </row>
    <row r="11" customFormat="false" ht="15" hidden="false" customHeight="false" outlineLevel="0" collapsed="false">
      <c r="C11" s="15" t="s">
        <v>81</v>
      </c>
    </row>
    <row r="12" customFormat="false" ht="15" hidden="false" customHeight="false" outlineLevel="0" collapsed="false">
      <c r="C12" s="15" t="s">
        <v>82</v>
      </c>
    </row>
    <row r="13" customFormat="false" ht="15" hidden="false" customHeight="false" outlineLevel="0" collapsed="false">
      <c r="C13" s="15" t="s">
        <v>83</v>
      </c>
    </row>
    <row r="14" customFormat="false" ht="15" hidden="false" customHeight="false" outlineLevel="0" collapsed="false">
      <c r="C14" s="15" t="s">
        <v>84</v>
      </c>
    </row>
    <row r="15" customFormat="false" ht="15" hidden="false" customHeight="false" outlineLevel="0" collapsed="false">
      <c r="C15" s="15" t="s">
        <v>85</v>
      </c>
    </row>
    <row r="16" customFormat="false" ht="15" hidden="false" customHeight="false" outlineLevel="0" collapsed="false">
      <c r="C16" s="1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2026-09-12T13:59:41Z</dcterms:created>
  <dc:creator>openpyxl</dc:creator>
  <dc:description/>
  <dc:language>en-US</dc:language>
  <cp:lastModifiedBy/>
  <dcterms:modified xsi:type="dcterms:W3CDTF">2026-09-12T13:59:41Z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