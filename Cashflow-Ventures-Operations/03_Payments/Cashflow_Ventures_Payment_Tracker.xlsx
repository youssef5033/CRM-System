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s" sheetId="1" state="visible" r:id="rId3"/>
    <sheet name="Totals Summary" sheetId="2" state="visible" r:id="rId4"/>
    <sheet name="Lists" sheetId="3" state="hidden" r:id="rId5"/>
  </sheets>
  <definedNames>
    <definedName function="false" hidden="true" localSheetId="0" name="_xlnm._FilterDatabase" vbProcedure="false">Payments!$A$1:$Z$151</definedName>
    <definedName function="false" hidden="false" name="PPaymentStatusList" vbProcedure="false">Lists!$C$2:$C$6</definedName>
    <definedName function="false" hidden="false" name="PProjectTypeList" vbProcedure="false">Lists!$B$2:$B$7</definedName>
    <definedName function="false" hidden="false" name="PRecurringStatusList" vbProcedure="false">Lists!$D$2:$D$6</definedName>
    <definedName function="false" hidden="false" name="PVentureList" vbProcedure="false">Lists!$A$2:$A$3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<sst xmlns="http://schemas.openxmlformats.org/spreadsheetml/2006/main" count="81" uniqueCount="63">
  <si>
    <t xml:space="preserve">Client ID</t>
  </si>
  <si>
    <t xml:space="preserve">Lead ID</t>
  </si>
  <si>
    <t xml:space="preserve">Venture</t>
  </si>
  <si>
    <t xml:space="preserve">Business Name</t>
  </si>
  <si>
    <t xml:space="preserve">Project Type</t>
  </si>
  <si>
    <t xml:space="preserve">Project Price</t>
  </si>
  <si>
    <t xml:space="preserve">Deposit Percentage</t>
  </si>
  <si>
    <t xml:space="preserve">Deposit Amount</t>
  </si>
  <si>
    <t xml:space="preserve">Deposit Invoice Date</t>
  </si>
  <si>
    <t xml:space="preserve">Deposit Due Date</t>
  </si>
  <si>
    <t xml:space="preserve">Deposit Status</t>
  </si>
  <si>
    <t xml:space="preserve">Deposit Paid Date</t>
  </si>
  <si>
    <t xml:space="preserve">Final Payment Amount</t>
  </si>
  <si>
    <t xml:space="preserve">Final Invoice Date</t>
  </si>
  <si>
    <t xml:space="preserve">Final Due Date</t>
  </si>
  <si>
    <t xml:space="preserve">Final Payment Status</t>
  </si>
  <si>
    <t xml:space="preserve">Final Paid Date</t>
  </si>
  <si>
    <t xml:space="preserve">Recurring Monthly Fee</t>
  </si>
  <si>
    <t xml:space="preserve">Recurring Revenue Start Date</t>
  </si>
  <si>
    <t xml:space="preserve">Next Recurring Payment</t>
  </si>
  <si>
    <t xml:space="preserve">Recurring Payment Status</t>
  </si>
  <si>
    <t xml:space="preserve">Total Invoiced</t>
  </si>
  <si>
    <t xml:space="preserve">Total Collected</t>
  </si>
  <si>
    <t xml:space="preserve">Outstanding Balance</t>
  </si>
  <si>
    <t xml:space="preserve">Payment Link</t>
  </si>
  <si>
    <t xml:space="preserve">Notes</t>
  </si>
  <si>
    <t xml:space="preserve">CLIENT-001</t>
  </si>
  <si>
    <t xml:space="preserve">LEAD-001</t>
  </si>
  <si>
    <t xml:space="preserve">Web Development</t>
  </si>
  <si>
    <t xml:space="preserve">Example: Riverside Family Dental</t>
  </si>
  <si>
    <t xml:space="preserve">Standard Website</t>
  </si>
  <si>
    <t xml:space="preserve">Paid</t>
  </si>
  <si>
    <t xml:space="preserve">Not Invoiced</t>
  </si>
  <si>
    <t xml:space="preserve">N/A</t>
  </si>
  <si>
    <t xml:space="preserve">{{PAYMENT_LINK_PLACEHOLDER}}</t>
  </si>
  <si>
    <t xml:space="preserve">Fictional example row — safe to delete. Deposit paid; site in build.</t>
  </si>
  <si>
    <t xml:space="preserve">CLIENT-002</t>
  </si>
  <si>
    <t xml:space="preserve">LEAD-002</t>
  </si>
  <si>
    <t xml:space="preserve">Cinematic Videos</t>
  </si>
  <si>
    <t xml:space="preserve">Example: Bluestone Realty Group</t>
  </si>
  <si>
    <t xml:space="preserve">Cinematic Property Film</t>
  </si>
  <si>
    <t xml:space="preserve">Invoiced</t>
  </si>
  <si>
    <t xml:space="preserve">Fictional example row — safe to delete. Awaiting deposit.</t>
  </si>
  <si>
    <t xml:space="preserve">Payment Totals Summary</t>
  </si>
  <si>
    <t xml:space="preserve">Metric</t>
  </si>
  <si>
    <t xml:space="preserve">Active Recurring Monthly Revenue</t>
  </si>
  <si>
    <t xml:space="preserve">Overdue Deposits</t>
  </si>
  <si>
    <t xml:space="preserve">Overdue Final Payments</t>
  </si>
  <si>
    <t xml:space="preserve">Combined Total Invoiced</t>
  </si>
  <si>
    <t xml:space="preserve">Combined Total Collected</t>
  </si>
  <si>
    <t xml:space="preserve">Copy the two 'Combined' figures above into the Master CRM dashboards and Weekly Dashboard's yellow 'Cash collected' cells each week.</t>
  </si>
  <si>
    <t xml:space="preserve">ProjectType</t>
  </si>
  <si>
    <t xml:space="preserve">PaymentStatus</t>
  </si>
  <si>
    <t xml:space="preserve">RecurringStatus</t>
  </si>
  <si>
    <t xml:space="preserve">Launch-Partner Website</t>
  </si>
  <si>
    <t xml:space="preserve">Active</t>
  </si>
  <si>
    <t xml:space="preserve">Managed Hosting &amp; Analytics</t>
  </si>
  <si>
    <t xml:space="preserve">Paused</t>
  </si>
  <si>
    <t xml:space="preserve">Overdue</t>
  </si>
  <si>
    <t xml:space="preserve">Cancelled</t>
  </si>
  <si>
    <t xml:space="preserve">Cinematic Location Film</t>
  </si>
  <si>
    <t xml:space="preserve">Waived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</si>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</sst>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%"/>
    <numFmt numFmtId="167" formatCode="yyyy\-mm\-dd"/>
    <numFmt numFmtId="168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CE4B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CE4B4"/>
        </patternFill>
      </fill>
    </dxf>
    <dxf>
      <fill>
        <patternFill>
          <bgColor rgb="FFF8CBCB"/>
        </patternFill>
      </fill>
    </dxf>
    <dxf>
      <fill>
        <patternFill>
          <bgColor rgb="FFE7E6E6"/>
        </patternFill>
      </fill>
    </dxf>
    <dxf>
      <fill>
        <patternFill>
          <bgColor rgb="FFD9E2F3"/>
        </patternFill>
      </fill>
    </dxf>
    <dxf>
      <fill>
        <patternFill>
          <bgColor rgb="FFDCE6F1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0B4"/>
      <rgbColor rgb="FFFCE4B4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Z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7" min="14" style="0" width="13"/>
    <col collapsed="false" customWidth="true" hidden="false" outlineLevel="0" max="18" min="18" style="0" width="14"/>
    <col collapsed="false" customWidth="true" hidden="false" outlineLevel="0" max="20" min="19" style="0" width="16"/>
    <col collapsed="false" customWidth="true" hidden="false" outlineLevel="0" max="21" min="21" style="0" width="14"/>
    <col collapsed="false" customWidth="true" hidden="false" outlineLevel="0" max="23" min="22" style="0" width="13"/>
    <col collapsed="false" customWidth="true" hidden="false" outlineLevel="0" max="24" min="24" style="0" width="14"/>
    <col collapsed="false" customWidth="true" hidden="false" outlineLevel="0" max="25" min="25" style="0" width="32"/>
    <col collapsed="false" customWidth="true" hidden="false" outlineLevel="0" max="26" min="26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3" t="n">
        <v>1200</v>
      </c>
      <c r="G2" s="4" t="n">
        <v>0.5</v>
      </c>
      <c r="H2" s="3" t="n">
        <f aca="false">IF(OR(F2="",G2=""),"",F2*G2)</f>
        <v>600</v>
      </c>
      <c r="I2" s="5" t="n">
        <v>46294</v>
      </c>
      <c r="J2" s="5" t="n">
        <v>46301</v>
      </c>
      <c r="K2" s="2" t="s">
        <v>31</v>
      </c>
      <c r="L2" s="5" t="n">
        <v>46296</v>
      </c>
      <c r="M2" s="3" t="n">
        <f aca="false">IF(F2="","",F2-H2)</f>
        <v>600</v>
      </c>
      <c r="N2" s="5"/>
      <c r="O2" s="5"/>
      <c r="P2" s="2" t="s">
        <v>32</v>
      </c>
      <c r="Q2" s="5"/>
      <c r="R2" s="3" t="n">
        <v>39</v>
      </c>
      <c r="S2" s="5"/>
      <c r="T2" s="5"/>
      <c r="U2" s="3" t="s">
        <v>33</v>
      </c>
      <c r="V2" s="3" t="n">
        <f aca="false">(IF(AND(K2&lt;&gt;"Not Invoiced",H2&lt;&gt;""),H2,0))+(IF(AND(P2&lt;&gt;"Not Invoiced",M2&lt;&gt;""),M2,0))</f>
        <v>600</v>
      </c>
      <c r="W2" s="3" t="n">
        <f aca="false">(IF(K2="Paid",H2,0))+(IF(P2="Paid",M2,0))+(IF(U2="Active",R2,0))</f>
        <v>600</v>
      </c>
      <c r="X2" s="3" t="n">
        <f aca="false">IF(V2="","",V2-W2)</f>
        <v>0</v>
      </c>
      <c r="Y2" s="2" t="s">
        <v>34</v>
      </c>
      <c r="Z2" s="2" t="s">
        <v>35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3" t="n">
        <v>1800</v>
      </c>
      <c r="G3" s="4" t="n">
        <v>0.5</v>
      </c>
      <c r="H3" s="3" t="n">
        <f aca="false">IF(OR(F3="",G3=""),"",F3*G3)</f>
        <v>900</v>
      </c>
      <c r="I3" s="5" t="n">
        <v>46285</v>
      </c>
      <c r="J3" s="5" t="n">
        <v>46292</v>
      </c>
      <c r="K3" s="2" t="s">
        <v>41</v>
      </c>
      <c r="L3" s="5"/>
      <c r="M3" s="3" t="n">
        <f aca="false">IF(F3="","",F3-H3)</f>
        <v>900</v>
      </c>
      <c r="N3" s="5"/>
      <c r="O3" s="5"/>
      <c r="P3" s="2" t="s">
        <v>32</v>
      </c>
      <c r="Q3" s="5"/>
      <c r="R3" s="3"/>
      <c r="S3" s="5"/>
      <c r="T3" s="5"/>
      <c r="U3" s="3" t="s">
        <v>33</v>
      </c>
      <c r="V3" s="3" t="n">
        <f aca="false">(IF(AND(K3&lt;&gt;"Not Invoiced",H3&lt;&gt;""),H3,0))+(IF(AND(P3&lt;&gt;"Not Invoiced",M3&lt;&gt;""),M3,0))</f>
        <v>900</v>
      </c>
      <c r="W3" s="3" t="n">
        <f aca="false">(IF(K3="Paid",H3,0))+(IF(P3="Paid",M3,0))+(IF(U3="Active",R3,0))</f>
        <v>0</v>
      </c>
      <c r="X3" s="3" t="n">
        <f aca="false">IF(V3="","",V3-W3)</f>
        <v>900</v>
      </c>
      <c r="Y3" s="2" t="s">
        <v>34</v>
      </c>
      <c r="Z3" s="2" t="s">
        <v>42</v>
      </c>
    </row>
    <row r="4" customFormat="false" ht="15" hidden="false" customHeight="false" outlineLevel="0" collapsed="false">
      <c r="A4" s="2"/>
      <c r="B4" s="2"/>
      <c r="C4" s="2"/>
      <c r="D4" s="2"/>
      <c r="E4" s="2"/>
      <c r="F4" s="3"/>
      <c r="G4" s="4"/>
      <c r="H4" s="3" t="str">
        <f aca="false">IF(OR(F4="",G4=""),"",F4*G4)</f>
        <v/>
      </c>
      <c r="I4" s="5"/>
      <c r="J4" s="5"/>
      <c r="K4" s="2"/>
      <c r="L4" s="5"/>
      <c r="M4" s="3" t="str">
        <f aca="false">IF(F4="","",F4-H4)</f>
        <v/>
      </c>
      <c r="N4" s="5"/>
      <c r="O4" s="5"/>
      <c r="P4" s="2"/>
      <c r="Q4" s="5"/>
      <c r="R4" s="3"/>
      <c r="S4" s="5"/>
      <c r="T4" s="5"/>
      <c r="U4" s="3"/>
      <c r="V4" s="3" t="n">
        <f aca="false">(IF(AND(K4&lt;&gt;"Not Invoiced",H4&lt;&gt;""),H4,0))+(IF(AND(P4&lt;&gt;"Not Invoiced",M4&lt;&gt;""),M4,0))</f>
        <v>0</v>
      </c>
      <c r="W4" s="3" t="n">
        <f aca="false">(IF(K4="Paid",H4,0))+(IF(P4="Paid",M4,0))+(IF(U4="Active",R4,0))</f>
        <v>0</v>
      </c>
      <c r="X4" s="3" t="n">
        <f aca="false">IF(V4="","",V4-W4)</f>
        <v>0</v>
      </c>
      <c r="Y4" s="2"/>
      <c r="Z4" s="2"/>
    </row>
    <row r="5" customFormat="false" ht="15" hidden="false" customHeight="false" outlineLevel="0" collapsed="false">
      <c r="A5" s="2"/>
      <c r="B5" s="2"/>
      <c r="C5" s="2"/>
      <c r="D5" s="2"/>
      <c r="E5" s="2"/>
      <c r="F5" s="3"/>
      <c r="G5" s="4"/>
      <c r="H5" s="3" t="str">
        <f aca="false">IF(OR(F5="",G5=""),"",F5*G5)</f>
        <v/>
      </c>
      <c r="I5" s="5"/>
      <c r="J5" s="5"/>
      <c r="K5" s="2"/>
      <c r="L5" s="5"/>
      <c r="M5" s="3" t="str">
        <f aca="false">IF(F5="","",F5-H5)</f>
        <v/>
      </c>
      <c r="N5" s="5"/>
      <c r="O5" s="5"/>
      <c r="P5" s="2"/>
      <c r="Q5" s="5"/>
      <c r="R5" s="3"/>
      <c r="S5" s="5"/>
      <c r="T5" s="5"/>
      <c r="U5" s="3"/>
      <c r="V5" s="3" t="n">
        <f aca="false">(IF(AND(K5&lt;&gt;"Not Invoiced",H5&lt;&gt;""),H5,0))+(IF(AND(P5&lt;&gt;"Not Invoiced",M5&lt;&gt;""),M5,0))</f>
        <v>0</v>
      </c>
      <c r="W5" s="3" t="n">
        <f aca="false">(IF(K5="Paid",H5,0))+(IF(P5="Paid",M5,0))+(IF(U5="Active",R5,0))</f>
        <v>0</v>
      </c>
      <c r="X5" s="3" t="n">
        <f aca="false">IF(V5="","",V5-W5)</f>
        <v>0</v>
      </c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3"/>
      <c r="G6" s="4"/>
      <c r="H6" s="3" t="str">
        <f aca="false">IF(OR(F6="",G6=""),"",F6*G6)</f>
        <v/>
      </c>
      <c r="I6" s="5"/>
      <c r="J6" s="5"/>
      <c r="K6" s="2"/>
      <c r="L6" s="5"/>
      <c r="M6" s="3" t="str">
        <f aca="false">IF(F6="","",F6-H6)</f>
        <v/>
      </c>
      <c r="N6" s="5"/>
      <c r="O6" s="5"/>
      <c r="P6" s="2"/>
      <c r="Q6" s="5"/>
      <c r="R6" s="3"/>
      <c r="S6" s="5"/>
      <c r="T6" s="5"/>
      <c r="U6" s="3"/>
      <c r="V6" s="3" t="n">
        <f aca="false">(IF(AND(K6&lt;&gt;"Not Invoiced",H6&lt;&gt;""),H6,0))+(IF(AND(P6&lt;&gt;"Not Invoiced",M6&lt;&gt;""),M6,0))</f>
        <v>0</v>
      </c>
      <c r="W6" s="3" t="n">
        <f aca="false">(IF(K6="Paid",H6,0))+(IF(P6="Paid",M6,0))+(IF(U6="Active",R6,0))</f>
        <v>0</v>
      </c>
      <c r="X6" s="3" t="n">
        <f aca="false">IF(V6="","",V6-W6)</f>
        <v>0</v>
      </c>
      <c r="Y6" s="2"/>
      <c r="Z6" s="2"/>
    </row>
    <row r="7" customFormat="false" ht="15" hidden="false" customHeight="false" outlineLevel="0" collapsed="false">
      <c r="A7" s="2"/>
      <c r="B7" s="2"/>
      <c r="C7" s="2"/>
      <c r="D7" s="2"/>
      <c r="E7" s="2"/>
      <c r="F7" s="3"/>
      <c r="G7" s="4"/>
      <c r="H7" s="3" t="str">
        <f aca="false">IF(OR(F7="",G7=""),"",F7*G7)</f>
        <v/>
      </c>
      <c r="I7" s="5"/>
      <c r="J7" s="5"/>
      <c r="K7" s="2"/>
      <c r="L7" s="5"/>
      <c r="M7" s="3" t="str">
        <f aca="false">IF(F7="","",F7-H7)</f>
        <v/>
      </c>
      <c r="N7" s="5"/>
      <c r="O7" s="5"/>
      <c r="P7" s="2"/>
      <c r="Q7" s="5"/>
      <c r="R7" s="3"/>
      <c r="S7" s="5"/>
      <c r="T7" s="5"/>
      <c r="U7" s="3"/>
      <c r="V7" s="3" t="n">
        <f aca="false">(IF(AND(K7&lt;&gt;"Not Invoiced",H7&lt;&gt;""),H7,0))+(IF(AND(P7&lt;&gt;"Not Invoiced",M7&lt;&gt;""),M7,0))</f>
        <v>0</v>
      </c>
      <c r="W7" s="3" t="n">
        <f aca="false">(IF(K7="Paid",H7,0))+(IF(P7="Paid",M7,0))+(IF(U7="Active",R7,0))</f>
        <v>0</v>
      </c>
      <c r="X7" s="3" t="n">
        <f aca="false">IF(V7="","",V7-W7)</f>
        <v>0</v>
      </c>
      <c r="Y7" s="2"/>
      <c r="Z7" s="2"/>
    </row>
    <row r="8" customFormat="false" ht="15" hidden="false" customHeight="false" outlineLevel="0" collapsed="false">
      <c r="A8" s="2"/>
      <c r="B8" s="2"/>
      <c r="C8" s="2"/>
      <c r="D8" s="2"/>
      <c r="E8" s="2"/>
      <c r="F8" s="3"/>
      <c r="G8" s="4"/>
      <c r="H8" s="3" t="str">
        <f aca="false">IF(OR(F8="",G8=""),"",F8*G8)</f>
        <v/>
      </c>
      <c r="I8" s="5"/>
      <c r="J8" s="5"/>
      <c r="K8" s="2"/>
      <c r="L8" s="5"/>
      <c r="M8" s="3" t="str">
        <f aca="false">IF(F8="","",F8-H8)</f>
        <v/>
      </c>
      <c r="N8" s="5"/>
      <c r="O8" s="5"/>
      <c r="P8" s="2"/>
      <c r="Q8" s="5"/>
      <c r="R8" s="3"/>
      <c r="S8" s="5"/>
      <c r="T8" s="5"/>
      <c r="U8" s="3"/>
      <c r="V8" s="3" t="n">
        <f aca="false">(IF(AND(K8&lt;&gt;"Not Invoiced",H8&lt;&gt;""),H8,0))+(IF(AND(P8&lt;&gt;"Not Invoiced",M8&lt;&gt;""),M8,0))</f>
        <v>0</v>
      </c>
      <c r="W8" s="3" t="n">
        <f aca="false">(IF(K8="Paid",H8,0))+(IF(P8="Paid",M8,0))+(IF(U8="Active",R8,0))</f>
        <v>0</v>
      </c>
      <c r="X8" s="3" t="n">
        <f aca="false">IF(V8="","",V8-W8)</f>
        <v>0</v>
      </c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3"/>
      <c r="G9" s="4"/>
      <c r="H9" s="3" t="str">
        <f aca="false">IF(OR(F9="",G9=""),"",F9*G9)</f>
        <v/>
      </c>
      <c r="I9" s="5"/>
      <c r="J9" s="5"/>
      <c r="K9" s="2"/>
      <c r="L9" s="5"/>
      <c r="M9" s="3" t="str">
        <f aca="false">IF(F9="","",F9-H9)</f>
        <v/>
      </c>
      <c r="N9" s="5"/>
      <c r="O9" s="5"/>
      <c r="P9" s="2"/>
      <c r="Q9" s="5"/>
      <c r="R9" s="3"/>
      <c r="S9" s="5"/>
      <c r="T9" s="5"/>
      <c r="U9" s="3"/>
      <c r="V9" s="3" t="n">
        <f aca="false">(IF(AND(K9&lt;&gt;"Not Invoiced",H9&lt;&gt;""),H9,0))+(IF(AND(P9&lt;&gt;"Not Invoiced",M9&lt;&gt;""),M9,0))</f>
        <v>0</v>
      </c>
      <c r="W9" s="3" t="n">
        <f aca="false">(IF(K9="Paid",H9,0))+(IF(P9="Paid",M9,0))+(IF(U9="Active",R9,0))</f>
        <v>0</v>
      </c>
      <c r="X9" s="3" t="n">
        <f aca="false">IF(V9="","",V9-W9)</f>
        <v>0</v>
      </c>
      <c r="Y9" s="2"/>
      <c r="Z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3"/>
      <c r="G10" s="4"/>
      <c r="H10" s="3" t="str">
        <f aca="false">IF(OR(F10="",G10=""),"",F10*G10)</f>
        <v/>
      </c>
      <c r="I10" s="5"/>
      <c r="J10" s="5"/>
      <c r="K10" s="2"/>
      <c r="L10" s="5"/>
      <c r="M10" s="3" t="str">
        <f aca="false">IF(F10="","",F10-H10)</f>
        <v/>
      </c>
      <c r="N10" s="5"/>
      <c r="O10" s="5"/>
      <c r="P10" s="2"/>
      <c r="Q10" s="5"/>
      <c r="R10" s="3"/>
      <c r="S10" s="5"/>
      <c r="T10" s="5"/>
      <c r="U10" s="3"/>
      <c r="V10" s="3" t="n">
        <f aca="false">(IF(AND(K10&lt;&gt;"Not Invoiced",H10&lt;&gt;""),H10,0))+(IF(AND(P10&lt;&gt;"Not Invoiced",M10&lt;&gt;""),M10,0))</f>
        <v>0</v>
      </c>
      <c r="W10" s="3" t="n">
        <f aca="false">(IF(K10="Paid",H10,0))+(IF(P10="Paid",M10,0))+(IF(U10="Active",R10,0))</f>
        <v>0</v>
      </c>
      <c r="X10" s="3" t="n">
        <f aca="false">IF(V10="","",V10-W10)</f>
        <v>0</v>
      </c>
      <c r="Y10" s="2"/>
      <c r="Z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3"/>
      <c r="G11" s="4"/>
      <c r="H11" s="3" t="str">
        <f aca="false">IF(OR(F11="",G11=""),"",F11*G11)</f>
        <v/>
      </c>
      <c r="I11" s="5"/>
      <c r="J11" s="5"/>
      <c r="K11" s="2"/>
      <c r="L11" s="5"/>
      <c r="M11" s="3" t="str">
        <f aca="false">IF(F11="","",F11-H11)</f>
        <v/>
      </c>
      <c r="N11" s="5"/>
      <c r="O11" s="5"/>
      <c r="P11" s="2"/>
      <c r="Q11" s="5"/>
      <c r="R11" s="3"/>
      <c r="S11" s="5"/>
      <c r="T11" s="5"/>
      <c r="U11" s="3"/>
      <c r="V11" s="3" t="n">
        <f aca="false">(IF(AND(K11&lt;&gt;"Not Invoiced",H11&lt;&gt;""),H11,0))+(IF(AND(P11&lt;&gt;"Not Invoiced",M11&lt;&gt;""),M11,0))</f>
        <v>0</v>
      </c>
      <c r="W11" s="3" t="n">
        <f aca="false">(IF(K11="Paid",H11,0))+(IF(P11="Paid",M11,0))+(IF(U11="Active",R11,0))</f>
        <v>0</v>
      </c>
      <c r="X11" s="3" t="n">
        <f aca="false">IF(V11="","",V11-W11)</f>
        <v>0</v>
      </c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3"/>
      <c r="G12" s="4"/>
      <c r="H12" s="3" t="str">
        <f aca="false">IF(OR(F12="",G12=""),"",F12*G12)</f>
        <v/>
      </c>
      <c r="I12" s="5"/>
      <c r="J12" s="5"/>
      <c r="K12" s="2"/>
      <c r="L12" s="5"/>
      <c r="M12" s="3" t="str">
        <f aca="false">IF(F12="","",F12-H12)</f>
        <v/>
      </c>
      <c r="N12" s="5"/>
      <c r="O12" s="5"/>
      <c r="P12" s="2"/>
      <c r="Q12" s="5"/>
      <c r="R12" s="3"/>
      <c r="S12" s="5"/>
      <c r="T12" s="5"/>
      <c r="U12" s="3"/>
      <c r="V12" s="3" t="n">
        <f aca="false">(IF(AND(K12&lt;&gt;"Not Invoiced",H12&lt;&gt;""),H12,0))+(IF(AND(P12&lt;&gt;"Not Invoiced",M12&lt;&gt;""),M12,0))</f>
        <v>0</v>
      </c>
      <c r="W12" s="3" t="n">
        <f aca="false">(IF(K12="Paid",H12,0))+(IF(P12="Paid",M12,0))+(IF(U12="Active",R12,0))</f>
        <v>0</v>
      </c>
      <c r="X12" s="3" t="n">
        <f aca="false">IF(V12="","",V12-W12)</f>
        <v>0</v>
      </c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3"/>
      <c r="G13" s="4"/>
      <c r="H13" s="3" t="str">
        <f aca="false">IF(OR(F13="",G13=""),"",F13*G13)</f>
        <v/>
      </c>
      <c r="I13" s="5"/>
      <c r="J13" s="5"/>
      <c r="K13" s="2"/>
      <c r="L13" s="5"/>
      <c r="M13" s="3" t="str">
        <f aca="false">IF(F13="","",F13-H13)</f>
        <v/>
      </c>
      <c r="N13" s="5"/>
      <c r="O13" s="5"/>
      <c r="P13" s="2"/>
      <c r="Q13" s="5"/>
      <c r="R13" s="3"/>
      <c r="S13" s="5"/>
      <c r="T13" s="5"/>
      <c r="U13" s="3"/>
      <c r="V13" s="3" t="n">
        <f aca="false">(IF(AND(K13&lt;&gt;"Not Invoiced",H13&lt;&gt;""),H13,0))+(IF(AND(P13&lt;&gt;"Not Invoiced",M13&lt;&gt;""),M13,0))</f>
        <v>0</v>
      </c>
      <c r="W13" s="3" t="n">
        <f aca="false">(IF(K13="Paid",H13,0))+(IF(P13="Paid",M13,0))+(IF(U13="Active",R13,0))</f>
        <v>0</v>
      </c>
      <c r="X13" s="3" t="n">
        <f aca="false">IF(V13="","",V13-W13)</f>
        <v>0</v>
      </c>
      <c r="Y13" s="2"/>
      <c r="Z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3"/>
      <c r="G14" s="4"/>
      <c r="H14" s="3" t="str">
        <f aca="false">IF(OR(F14="",G14=""),"",F14*G14)</f>
        <v/>
      </c>
      <c r="I14" s="5"/>
      <c r="J14" s="5"/>
      <c r="K14" s="2"/>
      <c r="L14" s="5"/>
      <c r="M14" s="3" t="str">
        <f aca="false">IF(F14="","",F14-H14)</f>
        <v/>
      </c>
      <c r="N14" s="5"/>
      <c r="O14" s="5"/>
      <c r="P14" s="2"/>
      <c r="Q14" s="5"/>
      <c r="R14" s="3"/>
      <c r="S14" s="5"/>
      <c r="T14" s="5"/>
      <c r="U14" s="3"/>
      <c r="V14" s="3" t="n">
        <f aca="false">(IF(AND(K14&lt;&gt;"Not Invoiced",H14&lt;&gt;""),H14,0))+(IF(AND(P14&lt;&gt;"Not Invoiced",M14&lt;&gt;""),M14,0))</f>
        <v>0</v>
      </c>
      <c r="W14" s="3" t="n">
        <f aca="false">(IF(K14="Paid",H14,0))+(IF(P14="Paid",M14,0))+(IF(U14="Active",R14,0))</f>
        <v>0</v>
      </c>
      <c r="X14" s="3" t="n">
        <f aca="false">IF(V14="","",V14-W14)</f>
        <v>0</v>
      </c>
      <c r="Y14" s="2"/>
      <c r="Z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3"/>
      <c r="G15" s="4"/>
      <c r="H15" s="3" t="str">
        <f aca="false">IF(OR(F15="",G15=""),"",F15*G15)</f>
        <v/>
      </c>
      <c r="I15" s="5"/>
      <c r="J15" s="5"/>
      <c r="K15" s="2"/>
      <c r="L15" s="5"/>
      <c r="M15" s="3" t="str">
        <f aca="false">IF(F15="","",F15-H15)</f>
        <v/>
      </c>
      <c r="N15" s="5"/>
      <c r="O15" s="5"/>
      <c r="P15" s="2"/>
      <c r="Q15" s="5"/>
      <c r="R15" s="3"/>
      <c r="S15" s="5"/>
      <c r="T15" s="5"/>
      <c r="U15" s="3"/>
      <c r="V15" s="3" t="n">
        <f aca="false">(IF(AND(K15&lt;&gt;"Not Invoiced",H15&lt;&gt;""),H15,0))+(IF(AND(P15&lt;&gt;"Not Invoiced",M15&lt;&gt;""),M15,0))</f>
        <v>0</v>
      </c>
      <c r="W15" s="3" t="n">
        <f aca="false">(IF(K15="Paid",H15,0))+(IF(P15="Paid",M15,0))+(IF(U15="Active",R15,0))</f>
        <v>0</v>
      </c>
      <c r="X15" s="3" t="n">
        <f aca="false">IF(V15="","",V15-W15)</f>
        <v>0</v>
      </c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3"/>
      <c r="G16" s="4"/>
      <c r="H16" s="3" t="str">
        <f aca="false">IF(OR(F16="",G16=""),"",F16*G16)</f>
        <v/>
      </c>
      <c r="I16" s="5"/>
      <c r="J16" s="5"/>
      <c r="K16" s="2"/>
      <c r="L16" s="5"/>
      <c r="M16" s="3" t="str">
        <f aca="false">IF(F16="","",F16-H16)</f>
        <v/>
      </c>
      <c r="N16" s="5"/>
      <c r="O16" s="5"/>
      <c r="P16" s="2"/>
      <c r="Q16" s="5"/>
      <c r="R16" s="3"/>
      <c r="S16" s="5"/>
      <c r="T16" s="5"/>
      <c r="U16" s="3"/>
      <c r="V16" s="3" t="n">
        <f aca="false">(IF(AND(K16&lt;&gt;"Not Invoiced",H16&lt;&gt;""),H16,0))+(IF(AND(P16&lt;&gt;"Not Invoiced",M16&lt;&gt;""),M16,0))</f>
        <v>0</v>
      </c>
      <c r="W16" s="3" t="n">
        <f aca="false">(IF(K16="Paid",H16,0))+(IF(P16="Paid",M16,0))+(IF(U16="Active",R16,0))</f>
        <v>0</v>
      </c>
      <c r="X16" s="3" t="n">
        <f aca="false">IF(V16="","",V16-W16)</f>
        <v>0</v>
      </c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3"/>
      <c r="G17" s="4"/>
      <c r="H17" s="3" t="str">
        <f aca="false">IF(OR(F17="",G17=""),"",F17*G17)</f>
        <v/>
      </c>
      <c r="I17" s="5"/>
      <c r="J17" s="5"/>
      <c r="K17" s="2"/>
      <c r="L17" s="5"/>
      <c r="M17" s="3" t="str">
        <f aca="false">IF(F17="","",F17-H17)</f>
        <v/>
      </c>
      <c r="N17" s="5"/>
      <c r="O17" s="5"/>
      <c r="P17" s="2"/>
      <c r="Q17" s="5"/>
      <c r="R17" s="3"/>
      <c r="S17" s="5"/>
      <c r="T17" s="5"/>
      <c r="U17" s="3"/>
      <c r="V17" s="3" t="n">
        <f aca="false">(IF(AND(K17&lt;&gt;"Not Invoiced",H17&lt;&gt;""),H17,0))+(IF(AND(P17&lt;&gt;"Not Invoiced",M17&lt;&gt;""),M17,0))</f>
        <v>0</v>
      </c>
      <c r="W17" s="3" t="n">
        <f aca="false">(IF(K17="Paid",H17,0))+(IF(P17="Paid",M17,0))+(IF(U17="Active",R17,0))</f>
        <v>0</v>
      </c>
      <c r="X17" s="3" t="n">
        <f aca="false">IF(V17="","",V17-W17)</f>
        <v>0</v>
      </c>
      <c r="Y17" s="2"/>
      <c r="Z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3"/>
      <c r="G18" s="4"/>
      <c r="H18" s="3" t="str">
        <f aca="false">IF(OR(F18="",G18=""),"",F18*G18)</f>
        <v/>
      </c>
      <c r="I18" s="5"/>
      <c r="J18" s="5"/>
      <c r="K18" s="2"/>
      <c r="L18" s="5"/>
      <c r="M18" s="3" t="str">
        <f aca="false">IF(F18="","",F18-H18)</f>
        <v/>
      </c>
      <c r="N18" s="5"/>
      <c r="O18" s="5"/>
      <c r="P18" s="2"/>
      <c r="Q18" s="5"/>
      <c r="R18" s="3"/>
      <c r="S18" s="5"/>
      <c r="T18" s="5"/>
      <c r="U18" s="3"/>
      <c r="V18" s="3" t="n">
        <f aca="false">(IF(AND(K18&lt;&gt;"Not Invoiced",H18&lt;&gt;""),H18,0))+(IF(AND(P18&lt;&gt;"Not Invoiced",M18&lt;&gt;""),M18,0))</f>
        <v>0</v>
      </c>
      <c r="W18" s="3" t="n">
        <f aca="false">(IF(K18="Paid",H18,0))+(IF(P18="Paid",M18,0))+(IF(U18="Active",R18,0))</f>
        <v>0</v>
      </c>
      <c r="X18" s="3" t="n">
        <f aca="false">IF(V18="","",V18-W18)</f>
        <v>0</v>
      </c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3"/>
      <c r="G19" s="4"/>
      <c r="H19" s="3" t="str">
        <f aca="false">IF(OR(F19="",G19=""),"",F19*G19)</f>
        <v/>
      </c>
      <c r="I19" s="5"/>
      <c r="J19" s="5"/>
      <c r="K19" s="2"/>
      <c r="L19" s="5"/>
      <c r="M19" s="3" t="str">
        <f aca="false">IF(F19="","",F19-H19)</f>
        <v/>
      </c>
      <c r="N19" s="5"/>
      <c r="O19" s="5"/>
      <c r="P19" s="2"/>
      <c r="Q19" s="5"/>
      <c r="R19" s="3"/>
      <c r="S19" s="5"/>
      <c r="T19" s="5"/>
      <c r="U19" s="3"/>
      <c r="V19" s="3" t="n">
        <f aca="false">(IF(AND(K19&lt;&gt;"Not Invoiced",H19&lt;&gt;""),H19,0))+(IF(AND(P19&lt;&gt;"Not Invoiced",M19&lt;&gt;""),M19,0))</f>
        <v>0</v>
      </c>
      <c r="W19" s="3" t="n">
        <f aca="false">(IF(K19="Paid",H19,0))+(IF(P19="Paid",M19,0))+(IF(U19="Active",R19,0))</f>
        <v>0</v>
      </c>
      <c r="X19" s="3" t="n">
        <f aca="false">IF(V19="","",V19-W19)</f>
        <v>0</v>
      </c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3"/>
      <c r="G20" s="4"/>
      <c r="H20" s="3" t="str">
        <f aca="false">IF(OR(F20="",G20=""),"",F20*G20)</f>
        <v/>
      </c>
      <c r="I20" s="5"/>
      <c r="J20" s="5"/>
      <c r="K20" s="2"/>
      <c r="L20" s="5"/>
      <c r="M20" s="3" t="str">
        <f aca="false">IF(F20="","",F20-H20)</f>
        <v/>
      </c>
      <c r="N20" s="5"/>
      <c r="O20" s="5"/>
      <c r="P20" s="2"/>
      <c r="Q20" s="5"/>
      <c r="R20" s="3"/>
      <c r="S20" s="5"/>
      <c r="T20" s="5"/>
      <c r="U20" s="3"/>
      <c r="V20" s="3" t="n">
        <f aca="false">(IF(AND(K20&lt;&gt;"Not Invoiced",H20&lt;&gt;""),H20,0))+(IF(AND(P20&lt;&gt;"Not Invoiced",M20&lt;&gt;""),M20,0))</f>
        <v>0</v>
      </c>
      <c r="W20" s="3" t="n">
        <f aca="false">(IF(K20="Paid",H20,0))+(IF(P20="Paid",M20,0))+(IF(U20="Active",R20,0))</f>
        <v>0</v>
      </c>
      <c r="X20" s="3" t="n">
        <f aca="false">IF(V20="","",V20-W20)</f>
        <v>0</v>
      </c>
      <c r="Y20" s="2"/>
      <c r="Z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3"/>
      <c r="G21" s="4"/>
      <c r="H21" s="3" t="str">
        <f aca="false">IF(OR(F21="",G21=""),"",F21*G21)</f>
        <v/>
      </c>
      <c r="I21" s="5"/>
      <c r="J21" s="5"/>
      <c r="K21" s="2"/>
      <c r="L21" s="5"/>
      <c r="M21" s="3" t="str">
        <f aca="false">IF(F21="","",F21-H21)</f>
        <v/>
      </c>
      <c r="N21" s="5"/>
      <c r="O21" s="5"/>
      <c r="P21" s="2"/>
      <c r="Q21" s="5"/>
      <c r="R21" s="3"/>
      <c r="S21" s="5"/>
      <c r="T21" s="5"/>
      <c r="U21" s="3"/>
      <c r="V21" s="3" t="n">
        <f aca="false">(IF(AND(K21&lt;&gt;"Not Invoiced",H21&lt;&gt;""),H21,0))+(IF(AND(P21&lt;&gt;"Not Invoiced",M21&lt;&gt;""),M21,0))</f>
        <v>0</v>
      </c>
      <c r="W21" s="3" t="n">
        <f aca="false">(IF(K21="Paid",H21,0))+(IF(P21="Paid",M21,0))+(IF(U21="Active",R21,0))</f>
        <v>0</v>
      </c>
      <c r="X21" s="3" t="n">
        <f aca="false">IF(V21="","",V21-W21)</f>
        <v>0</v>
      </c>
      <c r="Y21" s="2"/>
      <c r="Z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3"/>
      <c r="G22" s="4"/>
      <c r="H22" s="3" t="str">
        <f aca="false">IF(OR(F22="",G22=""),"",F22*G22)</f>
        <v/>
      </c>
      <c r="I22" s="5"/>
      <c r="J22" s="5"/>
      <c r="K22" s="2"/>
      <c r="L22" s="5"/>
      <c r="M22" s="3" t="str">
        <f aca="false">IF(F22="","",F22-H22)</f>
        <v/>
      </c>
      <c r="N22" s="5"/>
      <c r="O22" s="5"/>
      <c r="P22" s="2"/>
      <c r="Q22" s="5"/>
      <c r="R22" s="3"/>
      <c r="S22" s="5"/>
      <c r="T22" s="5"/>
      <c r="U22" s="3"/>
      <c r="V22" s="3" t="n">
        <f aca="false">(IF(AND(K22&lt;&gt;"Not Invoiced",H22&lt;&gt;""),H22,0))+(IF(AND(P22&lt;&gt;"Not Invoiced",M22&lt;&gt;""),M22,0))</f>
        <v>0</v>
      </c>
      <c r="W22" s="3" t="n">
        <f aca="false">(IF(K22="Paid",H22,0))+(IF(P22="Paid",M22,0))+(IF(U22="Active",R22,0))</f>
        <v>0</v>
      </c>
      <c r="X22" s="3" t="n">
        <f aca="false">IF(V22="","",V22-W22)</f>
        <v>0</v>
      </c>
      <c r="Y22" s="2"/>
      <c r="Z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3"/>
      <c r="G23" s="4"/>
      <c r="H23" s="3" t="str">
        <f aca="false">IF(OR(F23="",G23=""),"",F23*G23)</f>
        <v/>
      </c>
      <c r="I23" s="5"/>
      <c r="J23" s="5"/>
      <c r="K23" s="2"/>
      <c r="L23" s="5"/>
      <c r="M23" s="3" t="str">
        <f aca="false">IF(F23="","",F23-H23)</f>
        <v/>
      </c>
      <c r="N23" s="5"/>
      <c r="O23" s="5"/>
      <c r="P23" s="2"/>
      <c r="Q23" s="5"/>
      <c r="R23" s="3"/>
      <c r="S23" s="5"/>
      <c r="T23" s="5"/>
      <c r="U23" s="3"/>
      <c r="V23" s="3" t="n">
        <f aca="false">(IF(AND(K23&lt;&gt;"Not Invoiced",H23&lt;&gt;""),H23,0))+(IF(AND(P23&lt;&gt;"Not Invoiced",M23&lt;&gt;""),M23,0))</f>
        <v>0</v>
      </c>
      <c r="W23" s="3" t="n">
        <f aca="false">(IF(K23="Paid",H23,0))+(IF(P23="Paid",M23,0))+(IF(U23="Active",R23,0))</f>
        <v>0</v>
      </c>
      <c r="X23" s="3" t="n">
        <f aca="false">IF(V23="","",V23-W23)</f>
        <v>0</v>
      </c>
      <c r="Y23" s="2"/>
      <c r="Z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3"/>
      <c r="G24" s="4"/>
      <c r="H24" s="3" t="str">
        <f aca="false">IF(OR(F24="",G24=""),"",F24*G24)</f>
        <v/>
      </c>
      <c r="I24" s="5"/>
      <c r="J24" s="5"/>
      <c r="K24" s="2"/>
      <c r="L24" s="5"/>
      <c r="M24" s="3" t="str">
        <f aca="false">IF(F24="","",F24-H24)</f>
        <v/>
      </c>
      <c r="N24" s="5"/>
      <c r="O24" s="5"/>
      <c r="P24" s="2"/>
      <c r="Q24" s="5"/>
      <c r="R24" s="3"/>
      <c r="S24" s="5"/>
      <c r="T24" s="5"/>
      <c r="U24" s="3"/>
      <c r="V24" s="3" t="n">
        <f aca="false">(IF(AND(K24&lt;&gt;"Not Invoiced",H24&lt;&gt;""),H24,0))+(IF(AND(P24&lt;&gt;"Not Invoiced",M24&lt;&gt;""),M24,0))</f>
        <v>0</v>
      </c>
      <c r="W24" s="3" t="n">
        <f aca="false">(IF(K24="Paid",H24,0))+(IF(P24="Paid",M24,0))+(IF(U24="Active",R24,0))</f>
        <v>0</v>
      </c>
      <c r="X24" s="3" t="n">
        <f aca="false">IF(V24="","",V24-W24)</f>
        <v>0</v>
      </c>
      <c r="Y24" s="2"/>
      <c r="Z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3"/>
      <c r="G25" s="4"/>
      <c r="H25" s="3" t="str">
        <f aca="false">IF(OR(F25="",G25=""),"",F25*G25)</f>
        <v/>
      </c>
      <c r="I25" s="5"/>
      <c r="J25" s="5"/>
      <c r="K25" s="2"/>
      <c r="L25" s="5"/>
      <c r="M25" s="3" t="str">
        <f aca="false">IF(F25="","",F25-H25)</f>
        <v/>
      </c>
      <c r="N25" s="5"/>
      <c r="O25" s="5"/>
      <c r="P25" s="2"/>
      <c r="Q25" s="5"/>
      <c r="R25" s="3"/>
      <c r="S25" s="5"/>
      <c r="T25" s="5"/>
      <c r="U25" s="3"/>
      <c r="V25" s="3" t="n">
        <f aca="false">(IF(AND(K25&lt;&gt;"Not Invoiced",H25&lt;&gt;""),H25,0))+(IF(AND(P25&lt;&gt;"Not Invoiced",M25&lt;&gt;""),M25,0))</f>
        <v>0</v>
      </c>
      <c r="W25" s="3" t="n">
        <f aca="false">(IF(K25="Paid",H25,0))+(IF(P25="Paid",M25,0))+(IF(U25="Active",R25,0))</f>
        <v>0</v>
      </c>
      <c r="X25" s="3" t="n">
        <f aca="false">IF(V25="","",V25-W25)</f>
        <v>0</v>
      </c>
      <c r="Y25" s="2"/>
      <c r="Z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3"/>
      <c r="G26" s="4"/>
      <c r="H26" s="3" t="str">
        <f aca="false">IF(OR(F26="",G26=""),"",F26*G26)</f>
        <v/>
      </c>
      <c r="I26" s="5"/>
      <c r="J26" s="5"/>
      <c r="K26" s="2"/>
      <c r="L26" s="5"/>
      <c r="M26" s="3" t="str">
        <f aca="false">IF(F26="","",F26-H26)</f>
        <v/>
      </c>
      <c r="N26" s="5"/>
      <c r="O26" s="5"/>
      <c r="P26" s="2"/>
      <c r="Q26" s="5"/>
      <c r="R26" s="3"/>
      <c r="S26" s="5"/>
      <c r="T26" s="5"/>
      <c r="U26" s="3"/>
      <c r="V26" s="3" t="n">
        <f aca="false">(IF(AND(K26&lt;&gt;"Not Invoiced",H26&lt;&gt;""),H26,0))+(IF(AND(P26&lt;&gt;"Not Invoiced",M26&lt;&gt;""),M26,0))</f>
        <v>0</v>
      </c>
      <c r="W26" s="3" t="n">
        <f aca="false">(IF(K26="Paid",H26,0))+(IF(P26="Paid",M26,0))+(IF(U26="Active",R26,0))</f>
        <v>0</v>
      </c>
      <c r="X26" s="3" t="n">
        <f aca="false">IF(V26="","",V26-W26)</f>
        <v>0</v>
      </c>
      <c r="Y26" s="2"/>
      <c r="Z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3"/>
      <c r="G27" s="4"/>
      <c r="H27" s="3" t="str">
        <f aca="false">IF(OR(F27="",G27=""),"",F27*G27)</f>
        <v/>
      </c>
      <c r="I27" s="5"/>
      <c r="J27" s="5"/>
      <c r="K27" s="2"/>
      <c r="L27" s="5"/>
      <c r="M27" s="3" t="str">
        <f aca="false">IF(F27="","",F27-H27)</f>
        <v/>
      </c>
      <c r="N27" s="5"/>
      <c r="O27" s="5"/>
      <c r="P27" s="2"/>
      <c r="Q27" s="5"/>
      <c r="R27" s="3"/>
      <c r="S27" s="5"/>
      <c r="T27" s="5"/>
      <c r="U27" s="3"/>
      <c r="V27" s="3" t="n">
        <f aca="false">(IF(AND(K27&lt;&gt;"Not Invoiced",H27&lt;&gt;""),H27,0))+(IF(AND(P27&lt;&gt;"Not Invoiced",M27&lt;&gt;""),M27,0))</f>
        <v>0</v>
      </c>
      <c r="W27" s="3" t="n">
        <f aca="false">(IF(K27="Paid",H27,0))+(IF(P27="Paid",M27,0))+(IF(U27="Active",R27,0))</f>
        <v>0</v>
      </c>
      <c r="X27" s="3" t="n">
        <f aca="false">IF(V27="","",V27-W27)</f>
        <v>0</v>
      </c>
      <c r="Y27" s="2"/>
      <c r="Z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3"/>
      <c r="G28" s="4"/>
      <c r="H28" s="3" t="str">
        <f aca="false">IF(OR(F28="",G28=""),"",F28*G28)</f>
        <v/>
      </c>
      <c r="I28" s="5"/>
      <c r="J28" s="5"/>
      <c r="K28" s="2"/>
      <c r="L28" s="5"/>
      <c r="M28" s="3" t="str">
        <f aca="false">IF(F28="","",F28-H28)</f>
        <v/>
      </c>
      <c r="N28" s="5"/>
      <c r="O28" s="5"/>
      <c r="P28" s="2"/>
      <c r="Q28" s="5"/>
      <c r="R28" s="3"/>
      <c r="S28" s="5"/>
      <c r="T28" s="5"/>
      <c r="U28" s="3"/>
      <c r="V28" s="3" t="n">
        <f aca="false">(IF(AND(K28&lt;&gt;"Not Invoiced",H28&lt;&gt;""),H28,0))+(IF(AND(P28&lt;&gt;"Not Invoiced",M28&lt;&gt;""),M28,0))</f>
        <v>0</v>
      </c>
      <c r="W28" s="3" t="n">
        <f aca="false">(IF(K28="Paid",H28,0))+(IF(P28="Paid",M28,0))+(IF(U28="Active",R28,0))</f>
        <v>0</v>
      </c>
      <c r="X28" s="3" t="n">
        <f aca="false">IF(V28="","",V28-W28)</f>
        <v>0</v>
      </c>
      <c r="Y28" s="2"/>
      <c r="Z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3"/>
      <c r="G29" s="4"/>
      <c r="H29" s="3" t="str">
        <f aca="false">IF(OR(F29="",G29=""),"",F29*G29)</f>
        <v/>
      </c>
      <c r="I29" s="5"/>
      <c r="J29" s="5"/>
      <c r="K29" s="2"/>
      <c r="L29" s="5"/>
      <c r="M29" s="3" t="str">
        <f aca="false">IF(F29="","",F29-H29)</f>
        <v/>
      </c>
      <c r="N29" s="5"/>
      <c r="O29" s="5"/>
      <c r="P29" s="2"/>
      <c r="Q29" s="5"/>
      <c r="R29" s="3"/>
      <c r="S29" s="5"/>
      <c r="T29" s="5"/>
      <c r="U29" s="3"/>
      <c r="V29" s="3" t="n">
        <f aca="false">(IF(AND(K29&lt;&gt;"Not Invoiced",H29&lt;&gt;""),H29,0))+(IF(AND(P29&lt;&gt;"Not Invoiced",M29&lt;&gt;""),M29,0))</f>
        <v>0</v>
      </c>
      <c r="W29" s="3" t="n">
        <f aca="false">(IF(K29="Paid",H29,0))+(IF(P29="Paid",M29,0))+(IF(U29="Active",R29,0))</f>
        <v>0</v>
      </c>
      <c r="X29" s="3" t="n">
        <f aca="false">IF(V29="","",V29-W29)</f>
        <v>0</v>
      </c>
      <c r="Y29" s="2"/>
      <c r="Z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3"/>
      <c r="G30" s="4"/>
      <c r="H30" s="3" t="str">
        <f aca="false">IF(OR(F30="",G30=""),"",F30*G30)</f>
        <v/>
      </c>
      <c r="I30" s="5"/>
      <c r="J30" s="5"/>
      <c r="K30" s="2"/>
      <c r="L30" s="5"/>
      <c r="M30" s="3" t="str">
        <f aca="false">IF(F30="","",F30-H30)</f>
        <v/>
      </c>
      <c r="N30" s="5"/>
      <c r="O30" s="5"/>
      <c r="P30" s="2"/>
      <c r="Q30" s="5"/>
      <c r="R30" s="3"/>
      <c r="S30" s="5"/>
      <c r="T30" s="5"/>
      <c r="U30" s="3"/>
      <c r="V30" s="3" t="n">
        <f aca="false">(IF(AND(K30&lt;&gt;"Not Invoiced",H30&lt;&gt;""),H30,0))+(IF(AND(P30&lt;&gt;"Not Invoiced",M30&lt;&gt;""),M30,0))</f>
        <v>0</v>
      </c>
      <c r="W30" s="3" t="n">
        <f aca="false">(IF(K30="Paid",H30,0))+(IF(P30="Paid",M30,0))+(IF(U30="Active",R30,0))</f>
        <v>0</v>
      </c>
      <c r="X30" s="3" t="n">
        <f aca="false">IF(V30="","",V30-W30)</f>
        <v>0</v>
      </c>
      <c r="Y30" s="2"/>
      <c r="Z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3"/>
      <c r="G31" s="4"/>
      <c r="H31" s="3" t="str">
        <f aca="false">IF(OR(F31="",G31=""),"",F31*G31)</f>
        <v/>
      </c>
      <c r="I31" s="5"/>
      <c r="J31" s="5"/>
      <c r="K31" s="2"/>
      <c r="L31" s="5"/>
      <c r="M31" s="3" t="str">
        <f aca="false">IF(F31="","",F31-H31)</f>
        <v/>
      </c>
      <c r="N31" s="5"/>
      <c r="O31" s="5"/>
      <c r="P31" s="2"/>
      <c r="Q31" s="5"/>
      <c r="R31" s="3"/>
      <c r="S31" s="5"/>
      <c r="T31" s="5"/>
      <c r="U31" s="3"/>
      <c r="V31" s="3" t="n">
        <f aca="false">(IF(AND(K31&lt;&gt;"Not Invoiced",H31&lt;&gt;""),H31,0))+(IF(AND(P31&lt;&gt;"Not Invoiced",M31&lt;&gt;""),M31,0))</f>
        <v>0</v>
      </c>
      <c r="W31" s="3" t="n">
        <f aca="false">(IF(K31="Paid",H31,0))+(IF(P31="Paid",M31,0))+(IF(U31="Active",R31,0))</f>
        <v>0</v>
      </c>
      <c r="X31" s="3" t="n">
        <f aca="false">IF(V31="","",V31-W31)</f>
        <v>0</v>
      </c>
      <c r="Y31" s="2"/>
      <c r="Z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3"/>
      <c r="G32" s="4"/>
      <c r="H32" s="3" t="str">
        <f aca="false">IF(OR(F32="",G32=""),"",F32*G32)</f>
        <v/>
      </c>
      <c r="I32" s="5"/>
      <c r="J32" s="5"/>
      <c r="K32" s="2"/>
      <c r="L32" s="5"/>
      <c r="M32" s="3" t="str">
        <f aca="false">IF(F32="","",F32-H32)</f>
        <v/>
      </c>
      <c r="N32" s="5"/>
      <c r="O32" s="5"/>
      <c r="P32" s="2"/>
      <c r="Q32" s="5"/>
      <c r="R32" s="3"/>
      <c r="S32" s="5"/>
      <c r="T32" s="5"/>
      <c r="U32" s="3"/>
      <c r="V32" s="3" t="n">
        <f aca="false">(IF(AND(K32&lt;&gt;"Not Invoiced",H32&lt;&gt;""),H32,0))+(IF(AND(P32&lt;&gt;"Not Invoiced",M32&lt;&gt;""),M32,0))</f>
        <v>0</v>
      </c>
      <c r="W32" s="3" t="n">
        <f aca="false">(IF(K32="Paid",H32,0))+(IF(P32="Paid",M32,0))+(IF(U32="Active",R32,0))</f>
        <v>0</v>
      </c>
      <c r="X32" s="3" t="n">
        <f aca="false">IF(V32="","",V32-W32)</f>
        <v>0</v>
      </c>
      <c r="Y32" s="2"/>
      <c r="Z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3"/>
      <c r="G33" s="4"/>
      <c r="H33" s="3" t="str">
        <f aca="false">IF(OR(F33="",G33=""),"",F33*G33)</f>
        <v/>
      </c>
      <c r="I33" s="5"/>
      <c r="J33" s="5"/>
      <c r="K33" s="2"/>
      <c r="L33" s="5"/>
      <c r="M33" s="3" t="str">
        <f aca="false">IF(F33="","",F33-H33)</f>
        <v/>
      </c>
      <c r="N33" s="5"/>
      <c r="O33" s="5"/>
      <c r="P33" s="2"/>
      <c r="Q33" s="5"/>
      <c r="R33" s="3"/>
      <c r="S33" s="5"/>
      <c r="T33" s="5"/>
      <c r="U33" s="3"/>
      <c r="V33" s="3" t="n">
        <f aca="false">(IF(AND(K33&lt;&gt;"Not Invoiced",H33&lt;&gt;""),H33,0))+(IF(AND(P33&lt;&gt;"Not Invoiced",M33&lt;&gt;""),M33,0))</f>
        <v>0</v>
      </c>
      <c r="W33" s="3" t="n">
        <f aca="false">(IF(K33="Paid",H33,0))+(IF(P33="Paid",M33,0))+(IF(U33="Active",R33,0))</f>
        <v>0</v>
      </c>
      <c r="X33" s="3" t="n">
        <f aca="false">IF(V33="","",V33-W33)</f>
        <v>0</v>
      </c>
      <c r="Y33" s="2"/>
      <c r="Z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3"/>
      <c r="G34" s="4"/>
      <c r="H34" s="3" t="str">
        <f aca="false">IF(OR(F34="",G34=""),"",F34*G34)</f>
        <v/>
      </c>
      <c r="I34" s="5"/>
      <c r="J34" s="5"/>
      <c r="K34" s="2"/>
      <c r="L34" s="5"/>
      <c r="M34" s="3" t="str">
        <f aca="false">IF(F34="","",F34-H34)</f>
        <v/>
      </c>
      <c r="N34" s="5"/>
      <c r="O34" s="5"/>
      <c r="P34" s="2"/>
      <c r="Q34" s="5"/>
      <c r="R34" s="3"/>
      <c r="S34" s="5"/>
      <c r="T34" s="5"/>
      <c r="U34" s="3"/>
      <c r="V34" s="3" t="n">
        <f aca="false">(IF(AND(K34&lt;&gt;"Not Invoiced",H34&lt;&gt;""),H34,0))+(IF(AND(P34&lt;&gt;"Not Invoiced",M34&lt;&gt;""),M34,0))</f>
        <v>0</v>
      </c>
      <c r="W34" s="3" t="n">
        <f aca="false">(IF(K34="Paid",H34,0))+(IF(P34="Paid",M34,0))+(IF(U34="Active",R34,0))</f>
        <v>0</v>
      </c>
      <c r="X34" s="3" t="n">
        <f aca="false">IF(V34="","",V34-W34)</f>
        <v>0</v>
      </c>
      <c r="Y34" s="2"/>
      <c r="Z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3"/>
      <c r="G35" s="4"/>
      <c r="H35" s="3" t="str">
        <f aca="false">IF(OR(F35="",G35=""),"",F35*G35)</f>
        <v/>
      </c>
      <c r="I35" s="5"/>
      <c r="J35" s="5"/>
      <c r="K35" s="2"/>
      <c r="L35" s="5"/>
      <c r="M35" s="3" t="str">
        <f aca="false">IF(F35="","",F35-H35)</f>
        <v/>
      </c>
      <c r="N35" s="5"/>
      <c r="O35" s="5"/>
      <c r="P35" s="2"/>
      <c r="Q35" s="5"/>
      <c r="R35" s="3"/>
      <c r="S35" s="5"/>
      <c r="T35" s="5"/>
      <c r="U35" s="3"/>
      <c r="V35" s="3" t="n">
        <f aca="false">(IF(AND(K35&lt;&gt;"Not Invoiced",H35&lt;&gt;""),H35,0))+(IF(AND(P35&lt;&gt;"Not Invoiced",M35&lt;&gt;""),M35,0))</f>
        <v>0</v>
      </c>
      <c r="W35" s="3" t="n">
        <f aca="false">(IF(K35="Paid",H35,0))+(IF(P35="Paid",M35,0))+(IF(U35="Active",R35,0))</f>
        <v>0</v>
      </c>
      <c r="X35" s="3" t="n">
        <f aca="false">IF(V35="","",V35-W35)</f>
        <v>0</v>
      </c>
      <c r="Y35" s="2"/>
      <c r="Z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3"/>
      <c r="G36" s="4"/>
      <c r="H36" s="3" t="str">
        <f aca="false">IF(OR(F36="",G36=""),"",F36*G36)</f>
        <v/>
      </c>
      <c r="I36" s="5"/>
      <c r="J36" s="5"/>
      <c r="K36" s="2"/>
      <c r="L36" s="5"/>
      <c r="M36" s="3" t="str">
        <f aca="false">IF(F36="","",F36-H36)</f>
        <v/>
      </c>
      <c r="N36" s="5"/>
      <c r="O36" s="5"/>
      <c r="P36" s="2"/>
      <c r="Q36" s="5"/>
      <c r="R36" s="3"/>
      <c r="S36" s="5"/>
      <c r="T36" s="5"/>
      <c r="U36" s="3"/>
      <c r="V36" s="3" t="n">
        <f aca="false">(IF(AND(K36&lt;&gt;"Not Invoiced",H36&lt;&gt;""),H36,0))+(IF(AND(P36&lt;&gt;"Not Invoiced",M36&lt;&gt;""),M36,0))</f>
        <v>0</v>
      </c>
      <c r="W36" s="3" t="n">
        <f aca="false">(IF(K36="Paid",H36,0))+(IF(P36="Paid",M36,0))+(IF(U36="Active",R36,0))</f>
        <v>0</v>
      </c>
      <c r="X36" s="3" t="n">
        <f aca="false">IF(V36="","",V36-W36)</f>
        <v>0</v>
      </c>
      <c r="Y36" s="2"/>
      <c r="Z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3"/>
      <c r="G37" s="4"/>
      <c r="H37" s="3" t="str">
        <f aca="false">IF(OR(F37="",G37=""),"",F37*G37)</f>
        <v/>
      </c>
      <c r="I37" s="5"/>
      <c r="J37" s="5"/>
      <c r="K37" s="2"/>
      <c r="L37" s="5"/>
      <c r="M37" s="3" t="str">
        <f aca="false">IF(F37="","",F37-H37)</f>
        <v/>
      </c>
      <c r="N37" s="5"/>
      <c r="O37" s="5"/>
      <c r="P37" s="2"/>
      <c r="Q37" s="5"/>
      <c r="R37" s="3"/>
      <c r="S37" s="5"/>
      <c r="T37" s="5"/>
      <c r="U37" s="3"/>
      <c r="V37" s="3" t="n">
        <f aca="false">(IF(AND(K37&lt;&gt;"Not Invoiced",H37&lt;&gt;""),H37,0))+(IF(AND(P37&lt;&gt;"Not Invoiced",M37&lt;&gt;""),M37,0))</f>
        <v>0</v>
      </c>
      <c r="W37" s="3" t="n">
        <f aca="false">(IF(K37="Paid",H37,0))+(IF(P37="Paid",M37,0))+(IF(U37="Active",R37,0))</f>
        <v>0</v>
      </c>
      <c r="X37" s="3" t="n">
        <f aca="false">IF(V37="","",V37-W37)</f>
        <v>0</v>
      </c>
      <c r="Y37" s="2"/>
      <c r="Z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3"/>
      <c r="G38" s="4"/>
      <c r="H38" s="3" t="str">
        <f aca="false">IF(OR(F38="",G38=""),"",F38*G38)</f>
        <v/>
      </c>
      <c r="I38" s="5"/>
      <c r="J38" s="5"/>
      <c r="K38" s="2"/>
      <c r="L38" s="5"/>
      <c r="M38" s="3" t="str">
        <f aca="false">IF(F38="","",F38-H38)</f>
        <v/>
      </c>
      <c r="N38" s="5"/>
      <c r="O38" s="5"/>
      <c r="P38" s="2"/>
      <c r="Q38" s="5"/>
      <c r="R38" s="3"/>
      <c r="S38" s="5"/>
      <c r="T38" s="5"/>
      <c r="U38" s="3"/>
      <c r="V38" s="3" t="n">
        <f aca="false">(IF(AND(K38&lt;&gt;"Not Invoiced",H38&lt;&gt;""),H38,0))+(IF(AND(P38&lt;&gt;"Not Invoiced",M38&lt;&gt;""),M38,0))</f>
        <v>0</v>
      </c>
      <c r="W38" s="3" t="n">
        <f aca="false">(IF(K38="Paid",H38,0))+(IF(P38="Paid",M38,0))+(IF(U38="Active",R38,0))</f>
        <v>0</v>
      </c>
      <c r="X38" s="3" t="n">
        <f aca="false">IF(V38="","",V38-W38)</f>
        <v>0</v>
      </c>
      <c r="Y38" s="2"/>
      <c r="Z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3"/>
      <c r="G39" s="4"/>
      <c r="H39" s="3" t="str">
        <f aca="false">IF(OR(F39="",G39=""),"",F39*G39)</f>
        <v/>
      </c>
      <c r="I39" s="5"/>
      <c r="J39" s="5"/>
      <c r="K39" s="2"/>
      <c r="L39" s="5"/>
      <c r="M39" s="3" t="str">
        <f aca="false">IF(F39="","",F39-H39)</f>
        <v/>
      </c>
      <c r="N39" s="5"/>
      <c r="O39" s="5"/>
      <c r="P39" s="2"/>
      <c r="Q39" s="5"/>
      <c r="R39" s="3"/>
      <c r="S39" s="5"/>
      <c r="T39" s="5"/>
      <c r="U39" s="3"/>
      <c r="V39" s="3" t="n">
        <f aca="false">(IF(AND(K39&lt;&gt;"Not Invoiced",H39&lt;&gt;""),H39,0))+(IF(AND(P39&lt;&gt;"Not Invoiced",M39&lt;&gt;""),M39,0))</f>
        <v>0</v>
      </c>
      <c r="W39" s="3" t="n">
        <f aca="false">(IF(K39="Paid",H39,0))+(IF(P39="Paid",M39,0))+(IF(U39="Active",R39,0))</f>
        <v>0</v>
      </c>
      <c r="X39" s="3" t="n">
        <f aca="false">IF(V39="","",V39-W39)</f>
        <v>0</v>
      </c>
      <c r="Y39" s="2"/>
      <c r="Z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3"/>
      <c r="G40" s="4"/>
      <c r="H40" s="3" t="str">
        <f aca="false">IF(OR(F40="",G40=""),"",F40*G40)</f>
        <v/>
      </c>
      <c r="I40" s="5"/>
      <c r="J40" s="5"/>
      <c r="K40" s="2"/>
      <c r="L40" s="5"/>
      <c r="M40" s="3" t="str">
        <f aca="false">IF(F40="","",F40-H40)</f>
        <v/>
      </c>
      <c r="N40" s="5"/>
      <c r="O40" s="5"/>
      <c r="P40" s="2"/>
      <c r="Q40" s="5"/>
      <c r="R40" s="3"/>
      <c r="S40" s="5"/>
      <c r="T40" s="5"/>
      <c r="U40" s="3"/>
      <c r="V40" s="3" t="n">
        <f aca="false">(IF(AND(K40&lt;&gt;"Not Invoiced",H40&lt;&gt;""),H40,0))+(IF(AND(P40&lt;&gt;"Not Invoiced",M40&lt;&gt;""),M40,0))</f>
        <v>0</v>
      </c>
      <c r="W40" s="3" t="n">
        <f aca="false">(IF(K40="Paid",H40,0))+(IF(P40="Paid",M40,0))+(IF(U40="Active",R40,0))</f>
        <v>0</v>
      </c>
      <c r="X40" s="3" t="n">
        <f aca="false">IF(V40="","",V40-W40)</f>
        <v>0</v>
      </c>
      <c r="Y40" s="2"/>
      <c r="Z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3"/>
      <c r="G41" s="4"/>
      <c r="H41" s="3" t="str">
        <f aca="false">IF(OR(F41="",G41=""),"",F41*G41)</f>
        <v/>
      </c>
      <c r="I41" s="5"/>
      <c r="J41" s="5"/>
      <c r="K41" s="2"/>
      <c r="L41" s="5"/>
      <c r="M41" s="3" t="str">
        <f aca="false">IF(F41="","",F41-H41)</f>
        <v/>
      </c>
      <c r="N41" s="5"/>
      <c r="O41" s="5"/>
      <c r="P41" s="2"/>
      <c r="Q41" s="5"/>
      <c r="R41" s="3"/>
      <c r="S41" s="5"/>
      <c r="T41" s="5"/>
      <c r="U41" s="3"/>
      <c r="V41" s="3" t="n">
        <f aca="false">(IF(AND(K41&lt;&gt;"Not Invoiced",H41&lt;&gt;""),H41,0))+(IF(AND(P41&lt;&gt;"Not Invoiced",M41&lt;&gt;""),M41,0))</f>
        <v>0</v>
      </c>
      <c r="W41" s="3" t="n">
        <f aca="false">(IF(K41="Paid",H41,0))+(IF(P41="Paid",M41,0))+(IF(U41="Active",R41,0))</f>
        <v>0</v>
      </c>
      <c r="X41" s="3" t="n">
        <f aca="false">IF(V41="","",V41-W41)</f>
        <v>0</v>
      </c>
      <c r="Y41" s="2"/>
      <c r="Z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3"/>
      <c r="G42" s="4"/>
      <c r="H42" s="3" t="str">
        <f aca="false">IF(OR(F42="",G42=""),"",F42*G42)</f>
        <v/>
      </c>
      <c r="I42" s="5"/>
      <c r="J42" s="5"/>
      <c r="K42" s="2"/>
      <c r="L42" s="5"/>
      <c r="M42" s="3" t="str">
        <f aca="false">IF(F42="","",F42-H42)</f>
        <v/>
      </c>
      <c r="N42" s="5"/>
      <c r="O42" s="5"/>
      <c r="P42" s="2"/>
      <c r="Q42" s="5"/>
      <c r="R42" s="3"/>
      <c r="S42" s="5"/>
      <c r="T42" s="5"/>
      <c r="U42" s="3"/>
      <c r="V42" s="3" t="n">
        <f aca="false">(IF(AND(K42&lt;&gt;"Not Invoiced",H42&lt;&gt;""),H42,0))+(IF(AND(P42&lt;&gt;"Not Invoiced",M42&lt;&gt;""),M42,0))</f>
        <v>0</v>
      </c>
      <c r="W42" s="3" t="n">
        <f aca="false">(IF(K42="Paid",H42,0))+(IF(P42="Paid",M42,0))+(IF(U42="Active",R42,0))</f>
        <v>0</v>
      </c>
      <c r="X42" s="3" t="n">
        <f aca="false">IF(V42="","",V42-W42)</f>
        <v>0</v>
      </c>
      <c r="Y42" s="2"/>
      <c r="Z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3"/>
      <c r="G43" s="4"/>
      <c r="H43" s="3" t="str">
        <f aca="false">IF(OR(F43="",G43=""),"",F43*G43)</f>
        <v/>
      </c>
      <c r="I43" s="5"/>
      <c r="J43" s="5"/>
      <c r="K43" s="2"/>
      <c r="L43" s="5"/>
      <c r="M43" s="3" t="str">
        <f aca="false">IF(F43="","",F43-H43)</f>
        <v/>
      </c>
      <c r="N43" s="5"/>
      <c r="O43" s="5"/>
      <c r="P43" s="2"/>
      <c r="Q43" s="5"/>
      <c r="R43" s="3"/>
      <c r="S43" s="5"/>
      <c r="T43" s="5"/>
      <c r="U43" s="3"/>
      <c r="V43" s="3" t="n">
        <f aca="false">(IF(AND(K43&lt;&gt;"Not Invoiced",H43&lt;&gt;""),H43,0))+(IF(AND(P43&lt;&gt;"Not Invoiced",M43&lt;&gt;""),M43,0))</f>
        <v>0</v>
      </c>
      <c r="W43" s="3" t="n">
        <f aca="false">(IF(K43="Paid",H43,0))+(IF(P43="Paid",M43,0))+(IF(U43="Active",R43,0))</f>
        <v>0</v>
      </c>
      <c r="X43" s="3" t="n">
        <f aca="false">IF(V43="","",V43-W43)</f>
        <v>0</v>
      </c>
      <c r="Y43" s="2"/>
      <c r="Z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3"/>
      <c r="G44" s="4"/>
      <c r="H44" s="3" t="str">
        <f aca="false">IF(OR(F44="",G44=""),"",F44*G44)</f>
        <v/>
      </c>
      <c r="I44" s="5"/>
      <c r="J44" s="5"/>
      <c r="K44" s="2"/>
      <c r="L44" s="5"/>
      <c r="M44" s="3" t="str">
        <f aca="false">IF(F44="","",F44-H44)</f>
        <v/>
      </c>
      <c r="N44" s="5"/>
      <c r="O44" s="5"/>
      <c r="P44" s="2"/>
      <c r="Q44" s="5"/>
      <c r="R44" s="3"/>
      <c r="S44" s="5"/>
      <c r="T44" s="5"/>
      <c r="U44" s="3"/>
      <c r="V44" s="3" t="n">
        <f aca="false">(IF(AND(K44&lt;&gt;"Not Invoiced",H44&lt;&gt;""),H44,0))+(IF(AND(P44&lt;&gt;"Not Invoiced",M44&lt;&gt;""),M44,0))</f>
        <v>0</v>
      </c>
      <c r="W44" s="3" t="n">
        <f aca="false">(IF(K44="Paid",H44,0))+(IF(P44="Paid",M44,0))+(IF(U44="Active",R44,0))</f>
        <v>0</v>
      </c>
      <c r="X44" s="3" t="n">
        <f aca="false">IF(V44="","",V44-W44)</f>
        <v>0</v>
      </c>
      <c r="Y44" s="2"/>
      <c r="Z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3"/>
      <c r="G45" s="4"/>
      <c r="H45" s="3" t="str">
        <f aca="false">IF(OR(F45="",G45=""),"",F45*G45)</f>
        <v/>
      </c>
      <c r="I45" s="5"/>
      <c r="J45" s="5"/>
      <c r="K45" s="2"/>
      <c r="L45" s="5"/>
      <c r="M45" s="3" t="str">
        <f aca="false">IF(F45="","",F45-H45)</f>
        <v/>
      </c>
      <c r="N45" s="5"/>
      <c r="O45" s="5"/>
      <c r="P45" s="2"/>
      <c r="Q45" s="5"/>
      <c r="R45" s="3"/>
      <c r="S45" s="5"/>
      <c r="T45" s="5"/>
      <c r="U45" s="3"/>
      <c r="V45" s="3" t="n">
        <f aca="false">(IF(AND(K45&lt;&gt;"Not Invoiced",H45&lt;&gt;""),H45,0))+(IF(AND(P45&lt;&gt;"Not Invoiced",M45&lt;&gt;""),M45,0))</f>
        <v>0</v>
      </c>
      <c r="W45" s="3" t="n">
        <f aca="false">(IF(K45="Paid",H45,0))+(IF(P45="Paid",M45,0))+(IF(U45="Active",R45,0))</f>
        <v>0</v>
      </c>
      <c r="X45" s="3" t="n">
        <f aca="false">IF(V45="","",V45-W45)</f>
        <v>0</v>
      </c>
      <c r="Y45" s="2"/>
      <c r="Z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3"/>
      <c r="G46" s="4"/>
      <c r="H46" s="3" t="str">
        <f aca="false">IF(OR(F46="",G46=""),"",F46*G46)</f>
        <v/>
      </c>
      <c r="I46" s="5"/>
      <c r="J46" s="5"/>
      <c r="K46" s="2"/>
      <c r="L46" s="5"/>
      <c r="M46" s="3" t="str">
        <f aca="false">IF(F46="","",F46-H46)</f>
        <v/>
      </c>
      <c r="N46" s="5"/>
      <c r="O46" s="5"/>
      <c r="P46" s="2"/>
      <c r="Q46" s="5"/>
      <c r="R46" s="3"/>
      <c r="S46" s="5"/>
      <c r="T46" s="5"/>
      <c r="U46" s="3"/>
      <c r="V46" s="3" t="n">
        <f aca="false">(IF(AND(K46&lt;&gt;"Not Invoiced",H46&lt;&gt;""),H46,0))+(IF(AND(P46&lt;&gt;"Not Invoiced",M46&lt;&gt;""),M46,0))</f>
        <v>0</v>
      </c>
      <c r="W46" s="3" t="n">
        <f aca="false">(IF(K46="Paid",H46,0))+(IF(P46="Paid",M46,0))+(IF(U46="Active",R46,0))</f>
        <v>0</v>
      </c>
      <c r="X46" s="3" t="n">
        <f aca="false">IF(V46="","",V46-W46)</f>
        <v>0</v>
      </c>
      <c r="Y46" s="2"/>
      <c r="Z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3"/>
      <c r="G47" s="4"/>
      <c r="H47" s="3" t="str">
        <f aca="false">IF(OR(F47="",G47=""),"",F47*G47)</f>
        <v/>
      </c>
      <c r="I47" s="5"/>
      <c r="J47" s="5"/>
      <c r="K47" s="2"/>
      <c r="L47" s="5"/>
      <c r="M47" s="3" t="str">
        <f aca="false">IF(F47="","",F47-H47)</f>
        <v/>
      </c>
      <c r="N47" s="5"/>
      <c r="O47" s="5"/>
      <c r="P47" s="2"/>
      <c r="Q47" s="5"/>
      <c r="R47" s="3"/>
      <c r="S47" s="5"/>
      <c r="T47" s="5"/>
      <c r="U47" s="3"/>
      <c r="V47" s="3" t="n">
        <f aca="false">(IF(AND(K47&lt;&gt;"Not Invoiced",H47&lt;&gt;""),H47,0))+(IF(AND(P47&lt;&gt;"Not Invoiced",M47&lt;&gt;""),M47,0))</f>
        <v>0</v>
      </c>
      <c r="W47" s="3" t="n">
        <f aca="false">(IF(K47="Paid",H47,0))+(IF(P47="Paid",M47,0))+(IF(U47="Active",R47,0))</f>
        <v>0</v>
      </c>
      <c r="X47" s="3" t="n">
        <f aca="false">IF(V47="","",V47-W47)</f>
        <v>0</v>
      </c>
      <c r="Y47" s="2"/>
      <c r="Z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3"/>
      <c r="G48" s="4"/>
      <c r="H48" s="3" t="str">
        <f aca="false">IF(OR(F48="",G48=""),"",F48*G48)</f>
        <v/>
      </c>
      <c r="I48" s="5"/>
      <c r="J48" s="5"/>
      <c r="K48" s="2"/>
      <c r="L48" s="5"/>
      <c r="M48" s="3" t="str">
        <f aca="false">IF(F48="","",F48-H48)</f>
        <v/>
      </c>
      <c r="N48" s="5"/>
      <c r="O48" s="5"/>
      <c r="P48" s="2"/>
      <c r="Q48" s="5"/>
      <c r="R48" s="3"/>
      <c r="S48" s="5"/>
      <c r="T48" s="5"/>
      <c r="U48" s="3"/>
      <c r="V48" s="3" t="n">
        <f aca="false">(IF(AND(K48&lt;&gt;"Not Invoiced",H48&lt;&gt;""),H48,0))+(IF(AND(P48&lt;&gt;"Not Invoiced",M48&lt;&gt;""),M48,0))</f>
        <v>0</v>
      </c>
      <c r="W48" s="3" t="n">
        <f aca="false">(IF(K48="Paid",H48,0))+(IF(P48="Paid",M48,0))+(IF(U48="Active",R48,0))</f>
        <v>0</v>
      </c>
      <c r="X48" s="3" t="n">
        <f aca="false">IF(V48="","",V48-W48)</f>
        <v>0</v>
      </c>
      <c r="Y48" s="2"/>
      <c r="Z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3"/>
      <c r="G49" s="4"/>
      <c r="H49" s="3" t="str">
        <f aca="false">IF(OR(F49="",G49=""),"",F49*G49)</f>
        <v/>
      </c>
      <c r="I49" s="5"/>
      <c r="J49" s="5"/>
      <c r="K49" s="2"/>
      <c r="L49" s="5"/>
      <c r="M49" s="3" t="str">
        <f aca="false">IF(F49="","",F49-H49)</f>
        <v/>
      </c>
      <c r="N49" s="5"/>
      <c r="O49" s="5"/>
      <c r="P49" s="2"/>
      <c r="Q49" s="5"/>
      <c r="R49" s="3"/>
      <c r="S49" s="5"/>
      <c r="T49" s="5"/>
      <c r="U49" s="3"/>
      <c r="V49" s="3" t="n">
        <f aca="false">(IF(AND(K49&lt;&gt;"Not Invoiced",H49&lt;&gt;""),H49,0))+(IF(AND(P49&lt;&gt;"Not Invoiced",M49&lt;&gt;""),M49,0))</f>
        <v>0</v>
      </c>
      <c r="W49" s="3" t="n">
        <f aca="false">(IF(K49="Paid",H49,0))+(IF(P49="Paid",M49,0))+(IF(U49="Active",R49,0))</f>
        <v>0</v>
      </c>
      <c r="X49" s="3" t="n">
        <f aca="false">IF(V49="","",V49-W49)</f>
        <v>0</v>
      </c>
      <c r="Y49" s="2"/>
      <c r="Z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3"/>
      <c r="G50" s="4"/>
      <c r="H50" s="3" t="str">
        <f aca="false">IF(OR(F50="",G50=""),"",F50*G50)</f>
        <v/>
      </c>
      <c r="I50" s="5"/>
      <c r="J50" s="5"/>
      <c r="K50" s="2"/>
      <c r="L50" s="5"/>
      <c r="M50" s="3" t="str">
        <f aca="false">IF(F50="","",F50-H50)</f>
        <v/>
      </c>
      <c r="N50" s="5"/>
      <c r="O50" s="5"/>
      <c r="P50" s="2"/>
      <c r="Q50" s="5"/>
      <c r="R50" s="3"/>
      <c r="S50" s="5"/>
      <c r="T50" s="5"/>
      <c r="U50" s="3"/>
      <c r="V50" s="3" t="n">
        <f aca="false">(IF(AND(K50&lt;&gt;"Not Invoiced",H50&lt;&gt;""),H50,0))+(IF(AND(P50&lt;&gt;"Not Invoiced",M50&lt;&gt;""),M50,0))</f>
        <v>0</v>
      </c>
      <c r="W50" s="3" t="n">
        <f aca="false">(IF(K50="Paid",H50,0))+(IF(P50="Paid",M50,0))+(IF(U50="Active",R50,0))</f>
        <v>0</v>
      </c>
      <c r="X50" s="3" t="n">
        <f aca="false">IF(V50="","",V50-W50)</f>
        <v>0</v>
      </c>
      <c r="Y50" s="2"/>
      <c r="Z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3"/>
      <c r="G51" s="4"/>
      <c r="H51" s="3" t="str">
        <f aca="false">IF(OR(F51="",G51=""),"",F51*G51)</f>
        <v/>
      </c>
      <c r="I51" s="5"/>
      <c r="J51" s="5"/>
      <c r="K51" s="2"/>
      <c r="L51" s="5"/>
      <c r="M51" s="3" t="str">
        <f aca="false">IF(F51="","",F51-H51)</f>
        <v/>
      </c>
      <c r="N51" s="5"/>
      <c r="O51" s="5"/>
      <c r="P51" s="2"/>
      <c r="Q51" s="5"/>
      <c r="R51" s="3"/>
      <c r="S51" s="5"/>
      <c r="T51" s="5"/>
      <c r="U51" s="3"/>
      <c r="V51" s="3" t="n">
        <f aca="false">(IF(AND(K51&lt;&gt;"Not Invoiced",H51&lt;&gt;""),H51,0))+(IF(AND(P51&lt;&gt;"Not Invoiced",M51&lt;&gt;""),M51,0))</f>
        <v>0</v>
      </c>
      <c r="W51" s="3" t="n">
        <f aca="false">(IF(K51="Paid",H51,0))+(IF(P51="Paid",M51,0))+(IF(U51="Active",R51,0))</f>
        <v>0</v>
      </c>
      <c r="X51" s="3" t="n">
        <f aca="false">IF(V51="","",V51-W51)</f>
        <v>0</v>
      </c>
      <c r="Y51" s="2"/>
      <c r="Z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3"/>
      <c r="G52" s="4"/>
      <c r="H52" s="3" t="str">
        <f aca="false">IF(OR(F52="",G52=""),"",F52*G52)</f>
        <v/>
      </c>
      <c r="I52" s="5"/>
      <c r="J52" s="5"/>
      <c r="K52" s="2"/>
      <c r="L52" s="5"/>
      <c r="M52" s="3" t="str">
        <f aca="false">IF(F52="","",F52-H52)</f>
        <v/>
      </c>
      <c r="N52" s="5"/>
      <c r="O52" s="5"/>
      <c r="P52" s="2"/>
      <c r="Q52" s="5"/>
      <c r="R52" s="3"/>
      <c r="S52" s="5"/>
      <c r="T52" s="5"/>
      <c r="U52" s="3"/>
      <c r="V52" s="3" t="n">
        <f aca="false">(IF(AND(K52&lt;&gt;"Not Invoiced",H52&lt;&gt;""),H52,0))+(IF(AND(P52&lt;&gt;"Not Invoiced",M52&lt;&gt;""),M52,0))</f>
        <v>0</v>
      </c>
      <c r="W52" s="3" t="n">
        <f aca="false">(IF(K52="Paid",H52,0))+(IF(P52="Paid",M52,0))+(IF(U52="Active",R52,0))</f>
        <v>0</v>
      </c>
      <c r="X52" s="3" t="n">
        <f aca="false">IF(V52="","",V52-W52)</f>
        <v>0</v>
      </c>
      <c r="Y52" s="2"/>
      <c r="Z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3"/>
      <c r="G53" s="4"/>
      <c r="H53" s="3" t="str">
        <f aca="false">IF(OR(F53="",G53=""),"",F53*G53)</f>
        <v/>
      </c>
      <c r="I53" s="5"/>
      <c r="J53" s="5"/>
      <c r="K53" s="2"/>
      <c r="L53" s="5"/>
      <c r="M53" s="3" t="str">
        <f aca="false">IF(F53="","",F53-H53)</f>
        <v/>
      </c>
      <c r="N53" s="5"/>
      <c r="O53" s="5"/>
      <c r="P53" s="2"/>
      <c r="Q53" s="5"/>
      <c r="R53" s="3"/>
      <c r="S53" s="5"/>
      <c r="T53" s="5"/>
      <c r="U53" s="3"/>
      <c r="V53" s="3" t="n">
        <f aca="false">(IF(AND(K53&lt;&gt;"Not Invoiced",H53&lt;&gt;""),H53,0))+(IF(AND(P53&lt;&gt;"Not Invoiced",M53&lt;&gt;""),M53,0))</f>
        <v>0</v>
      </c>
      <c r="W53" s="3" t="n">
        <f aca="false">(IF(K53="Paid",H53,0))+(IF(P53="Paid",M53,0))+(IF(U53="Active",R53,0))</f>
        <v>0</v>
      </c>
      <c r="X53" s="3" t="n">
        <f aca="false">IF(V53="","",V53-W53)</f>
        <v>0</v>
      </c>
      <c r="Y53" s="2"/>
      <c r="Z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3"/>
      <c r="G54" s="4"/>
      <c r="H54" s="3" t="str">
        <f aca="false">IF(OR(F54="",G54=""),"",F54*G54)</f>
        <v/>
      </c>
      <c r="I54" s="5"/>
      <c r="J54" s="5"/>
      <c r="K54" s="2"/>
      <c r="L54" s="5"/>
      <c r="M54" s="3" t="str">
        <f aca="false">IF(F54="","",F54-H54)</f>
        <v/>
      </c>
      <c r="N54" s="5"/>
      <c r="O54" s="5"/>
      <c r="P54" s="2"/>
      <c r="Q54" s="5"/>
      <c r="R54" s="3"/>
      <c r="S54" s="5"/>
      <c r="T54" s="5"/>
      <c r="U54" s="3"/>
      <c r="V54" s="3" t="n">
        <f aca="false">(IF(AND(K54&lt;&gt;"Not Invoiced",H54&lt;&gt;""),H54,0))+(IF(AND(P54&lt;&gt;"Not Invoiced",M54&lt;&gt;""),M54,0))</f>
        <v>0</v>
      </c>
      <c r="W54" s="3" t="n">
        <f aca="false">(IF(K54="Paid",H54,0))+(IF(P54="Paid",M54,0))+(IF(U54="Active",R54,0))</f>
        <v>0</v>
      </c>
      <c r="X54" s="3" t="n">
        <f aca="false">IF(V54="","",V54-W54)</f>
        <v>0</v>
      </c>
      <c r="Y54" s="2"/>
      <c r="Z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3"/>
      <c r="G55" s="4"/>
      <c r="H55" s="3" t="str">
        <f aca="false">IF(OR(F55="",G55=""),"",F55*G55)</f>
        <v/>
      </c>
      <c r="I55" s="5"/>
      <c r="J55" s="5"/>
      <c r="K55" s="2"/>
      <c r="L55" s="5"/>
      <c r="M55" s="3" t="str">
        <f aca="false">IF(F55="","",F55-H55)</f>
        <v/>
      </c>
      <c r="N55" s="5"/>
      <c r="O55" s="5"/>
      <c r="P55" s="2"/>
      <c r="Q55" s="5"/>
      <c r="R55" s="3"/>
      <c r="S55" s="5"/>
      <c r="T55" s="5"/>
      <c r="U55" s="3"/>
      <c r="V55" s="3" t="n">
        <f aca="false">(IF(AND(K55&lt;&gt;"Not Invoiced",H55&lt;&gt;""),H55,0))+(IF(AND(P55&lt;&gt;"Not Invoiced",M55&lt;&gt;""),M55,0))</f>
        <v>0</v>
      </c>
      <c r="W55" s="3" t="n">
        <f aca="false">(IF(K55="Paid",H55,0))+(IF(P55="Paid",M55,0))+(IF(U55="Active",R55,0))</f>
        <v>0</v>
      </c>
      <c r="X55" s="3" t="n">
        <f aca="false">IF(V55="","",V55-W55)</f>
        <v>0</v>
      </c>
      <c r="Y55" s="2"/>
      <c r="Z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3"/>
      <c r="G56" s="4"/>
      <c r="H56" s="3" t="str">
        <f aca="false">IF(OR(F56="",G56=""),"",F56*G56)</f>
        <v/>
      </c>
      <c r="I56" s="5"/>
      <c r="J56" s="5"/>
      <c r="K56" s="2"/>
      <c r="L56" s="5"/>
      <c r="M56" s="3" t="str">
        <f aca="false">IF(F56="","",F56-H56)</f>
        <v/>
      </c>
      <c r="N56" s="5"/>
      <c r="O56" s="5"/>
      <c r="P56" s="2"/>
      <c r="Q56" s="5"/>
      <c r="R56" s="3"/>
      <c r="S56" s="5"/>
      <c r="T56" s="5"/>
      <c r="U56" s="3"/>
      <c r="V56" s="3" t="n">
        <f aca="false">(IF(AND(K56&lt;&gt;"Not Invoiced",H56&lt;&gt;""),H56,0))+(IF(AND(P56&lt;&gt;"Not Invoiced",M56&lt;&gt;""),M56,0))</f>
        <v>0</v>
      </c>
      <c r="W56" s="3" t="n">
        <f aca="false">(IF(K56="Paid",H56,0))+(IF(P56="Paid",M56,0))+(IF(U56="Active",R56,0))</f>
        <v>0</v>
      </c>
      <c r="X56" s="3" t="n">
        <f aca="false">IF(V56="","",V56-W56)</f>
        <v>0</v>
      </c>
      <c r="Y56" s="2"/>
      <c r="Z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3"/>
      <c r="G57" s="4"/>
      <c r="H57" s="3" t="str">
        <f aca="false">IF(OR(F57="",G57=""),"",F57*G57)</f>
        <v/>
      </c>
      <c r="I57" s="5"/>
      <c r="J57" s="5"/>
      <c r="K57" s="2"/>
      <c r="L57" s="5"/>
      <c r="M57" s="3" t="str">
        <f aca="false">IF(F57="","",F57-H57)</f>
        <v/>
      </c>
      <c r="N57" s="5"/>
      <c r="O57" s="5"/>
      <c r="P57" s="2"/>
      <c r="Q57" s="5"/>
      <c r="R57" s="3"/>
      <c r="S57" s="5"/>
      <c r="T57" s="5"/>
      <c r="U57" s="3"/>
      <c r="V57" s="3" t="n">
        <f aca="false">(IF(AND(K57&lt;&gt;"Not Invoiced",H57&lt;&gt;""),H57,0))+(IF(AND(P57&lt;&gt;"Not Invoiced",M57&lt;&gt;""),M57,0))</f>
        <v>0</v>
      </c>
      <c r="W57" s="3" t="n">
        <f aca="false">(IF(K57="Paid",H57,0))+(IF(P57="Paid",M57,0))+(IF(U57="Active",R57,0))</f>
        <v>0</v>
      </c>
      <c r="X57" s="3" t="n">
        <f aca="false">IF(V57="","",V57-W57)</f>
        <v>0</v>
      </c>
      <c r="Y57" s="2"/>
      <c r="Z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3"/>
      <c r="G58" s="4"/>
      <c r="H58" s="3" t="str">
        <f aca="false">IF(OR(F58="",G58=""),"",F58*G58)</f>
        <v/>
      </c>
      <c r="I58" s="5"/>
      <c r="J58" s="5"/>
      <c r="K58" s="2"/>
      <c r="L58" s="5"/>
      <c r="M58" s="3" t="str">
        <f aca="false">IF(F58="","",F58-H58)</f>
        <v/>
      </c>
      <c r="N58" s="5"/>
      <c r="O58" s="5"/>
      <c r="P58" s="2"/>
      <c r="Q58" s="5"/>
      <c r="R58" s="3"/>
      <c r="S58" s="5"/>
      <c r="T58" s="5"/>
      <c r="U58" s="3"/>
      <c r="V58" s="3" t="n">
        <f aca="false">(IF(AND(K58&lt;&gt;"Not Invoiced",H58&lt;&gt;""),H58,0))+(IF(AND(P58&lt;&gt;"Not Invoiced",M58&lt;&gt;""),M58,0))</f>
        <v>0</v>
      </c>
      <c r="W58" s="3" t="n">
        <f aca="false">(IF(K58="Paid",H58,0))+(IF(P58="Paid",M58,0))+(IF(U58="Active",R58,0))</f>
        <v>0</v>
      </c>
      <c r="X58" s="3" t="n">
        <f aca="false">IF(V58="","",V58-W58)</f>
        <v>0</v>
      </c>
      <c r="Y58" s="2"/>
      <c r="Z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3"/>
      <c r="G59" s="4"/>
      <c r="H59" s="3" t="str">
        <f aca="false">IF(OR(F59="",G59=""),"",F59*G59)</f>
        <v/>
      </c>
      <c r="I59" s="5"/>
      <c r="J59" s="5"/>
      <c r="K59" s="2"/>
      <c r="L59" s="5"/>
      <c r="M59" s="3" t="str">
        <f aca="false">IF(F59="","",F59-H59)</f>
        <v/>
      </c>
      <c r="N59" s="5"/>
      <c r="O59" s="5"/>
      <c r="P59" s="2"/>
      <c r="Q59" s="5"/>
      <c r="R59" s="3"/>
      <c r="S59" s="5"/>
      <c r="T59" s="5"/>
      <c r="U59" s="3"/>
      <c r="V59" s="3" t="n">
        <f aca="false">(IF(AND(K59&lt;&gt;"Not Invoiced",H59&lt;&gt;""),H59,0))+(IF(AND(P59&lt;&gt;"Not Invoiced",M59&lt;&gt;""),M59,0))</f>
        <v>0</v>
      </c>
      <c r="W59" s="3" t="n">
        <f aca="false">(IF(K59="Paid",H59,0))+(IF(P59="Paid",M59,0))+(IF(U59="Active",R59,0))</f>
        <v>0</v>
      </c>
      <c r="X59" s="3" t="n">
        <f aca="false">IF(V59="","",V59-W59)</f>
        <v>0</v>
      </c>
      <c r="Y59" s="2"/>
      <c r="Z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3"/>
      <c r="G60" s="4"/>
      <c r="H60" s="3" t="str">
        <f aca="false">IF(OR(F60="",G60=""),"",F60*G60)</f>
        <v/>
      </c>
      <c r="I60" s="5"/>
      <c r="J60" s="5"/>
      <c r="K60" s="2"/>
      <c r="L60" s="5"/>
      <c r="M60" s="3" t="str">
        <f aca="false">IF(F60="","",F60-H60)</f>
        <v/>
      </c>
      <c r="N60" s="5"/>
      <c r="O60" s="5"/>
      <c r="P60" s="2"/>
      <c r="Q60" s="5"/>
      <c r="R60" s="3"/>
      <c r="S60" s="5"/>
      <c r="T60" s="5"/>
      <c r="U60" s="3"/>
      <c r="V60" s="3" t="n">
        <f aca="false">(IF(AND(K60&lt;&gt;"Not Invoiced",H60&lt;&gt;""),H60,0))+(IF(AND(P60&lt;&gt;"Not Invoiced",M60&lt;&gt;""),M60,0))</f>
        <v>0</v>
      </c>
      <c r="W60" s="3" t="n">
        <f aca="false">(IF(K60="Paid",H60,0))+(IF(P60="Paid",M60,0))+(IF(U60="Active",R60,0))</f>
        <v>0</v>
      </c>
      <c r="X60" s="3" t="n">
        <f aca="false">IF(V60="","",V60-W60)</f>
        <v>0</v>
      </c>
      <c r="Y60" s="2"/>
      <c r="Z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3"/>
      <c r="G61" s="4"/>
      <c r="H61" s="3" t="str">
        <f aca="false">IF(OR(F61="",G61=""),"",F61*G61)</f>
        <v/>
      </c>
      <c r="I61" s="5"/>
      <c r="J61" s="5"/>
      <c r="K61" s="2"/>
      <c r="L61" s="5"/>
      <c r="M61" s="3" t="str">
        <f aca="false">IF(F61="","",F61-H61)</f>
        <v/>
      </c>
      <c r="N61" s="5"/>
      <c r="O61" s="5"/>
      <c r="P61" s="2"/>
      <c r="Q61" s="5"/>
      <c r="R61" s="3"/>
      <c r="S61" s="5"/>
      <c r="T61" s="5"/>
      <c r="U61" s="3"/>
      <c r="V61" s="3" t="n">
        <f aca="false">(IF(AND(K61&lt;&gt;"Not Invoiced",H61&lt;&gt;""),H61,0))+(IF(AND(P61&lt;&gt;"Not Invoiced",M61&lt;&gt;""),M61,0))</f>
        <v>0</v>
      </c>
      <c r="W61" s="3" t="n">
        <f aca="false">(IF(K61="Paid",H61,0))+(IF(P61="Paid",M61,0))+(IF(U61="Active",R61,0))</f>
        <v>0</v>
      </c>
      <c r="X61" s="3" t="n">
        <f aca="false">IF(V61="","",V61-W61)</f>
        <v>0</v>
      </c>
      <c r="Y61" s="2"/>
      <c r="Z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3"/>
      <c r="G62" s="4"/>
      <c r="H62" s="3" t="str">
        <f aca="false">IF(OR(F62="",G62=""),"",F62*G62)</f>
        <v/>
      </c>
      <c r="I62" s="5"/>
      <c r="J62" s="5"/>
      <c r="K62" s="2"/>
      <c r="L62" s="5"/>
      <c r="M62" s="3" t="str">
        <f aca="false">IF(F62="","",F62-H62)</f>
        <v/>
      </c>
      <c r="N62" s="5"/>
      <c r="O62" s="5"/>
      <c r="P62" s="2"/>
      <c r="Q62" s="5"/>
      <c r="R62" s="3"/>
      <c r="S62" s="5"/>
      <c r="T62" s="5"/>
      <c r="U62" s="3"/>
      <c r="V62" s="3" t="n">
        <f aca="false">(IF(AND(K62&lt;&gt;"Not Invoiced",H62&lt;&gt;""),H62,0))+(IF(AND(P62&lt;&gt;"Not Invoiced",M62&lt;&gt;""),M62,0))</f>
        <v>0</v>
      </c>
      <c r="W62" s="3" t="n">
        <f aca="false">(IF(K62="Paid",H62,0))+(IF(P62="Paid",M62,0))+(IF(U62="Active",R62,0))</f>
        <v>0</v>
      </c>
      <c r="X62" s="3" t="n">
        <f aca="false">IF(V62="","",V62-W62)</f>
        <v>0</v>
      </c>
      <c r="Y62" s="2"/>
      <c r="Z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3"/>
      <c r="G63" s="4"/>
      <c r="H63" s="3" t="str">
        <f aca="false">IF(OR(F63="",G63=""),"",F63*G63)</f>
        <v/>
      </c>
      <c r="I63" s="5"/>
      <c r="J63" s="5"/>
      <c r="K63" s="2"/>
      <c r="L63" s="5"/>
      <c r="M63" s="3" t="str">
        <f aca="false">IF(F63="","",F63-H63)</f>
        <v/>
      </c>
      <c r="N63" s="5"/>
      <c r="O63" s="5"/>
      <c r="P63" s="2"/>
      <c r="Q63" s="5"/>
      <c r="R63" s="3"/>
      <c r="S63" s="5"/>
      <c r="T63" s="5"/>
      <c r="U63" s="3"/>
      <c r="V63" s="3" t="n">
        <f aca="false">(IF(AND(K63&lt;&gt;"Not Invoiced",H63&lt;&gt;""),H63,0))+(IF(AND(P63&lt;&gt;"Not Invoiced",M63&lt;&gt;""),M63,0))</f>
        <v>0</v>
      </c>
      <c r="W63" s="3" t="n">
        <f aca="false">(IF(K63="Paid",H63,0))+(IF(P63="Paid",M63,0))+(IF(U63="Active",R63,0))</f>
        <v>0</v>
      </c>
      <c r="X63" s="3" t="n">
        <f aca="false">IF(V63="","",V63-W63)</f>
        <v>0</v>
      </c>
      <c r="Y63" s="2"/>
      <c r="Z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3"/>
      <c r="G64" s="4"/>
      <c r="H64" s="3" t="str">
        <f aca="false">IF(OR(F64="",G64=""),"",F64*G64)</f>
        <v/>
      </c>
      <c r="I64" s="5"/>
      <c r="J64" s="5"/>
      <c r="K64" s="2"/>
      <c r="L64" s="5"/>
      <c r="M64" s="3" t="str">
        <f aca="false">IF(F64="","",F64-H64)</f>
        <v/>
      </c>
      <c r="N64" s="5"/>
      <c r="O64" s="5"/>
      <c r="P64" s="2"/>
      <c r="Q64" s="5"/>
      <c r="R64" s="3"/>
      <c r="S64" s="5"/>
      <c r="T64" s="5"/>
      <c r="U64" s="3"/>
      <c r="V64" s="3" t="n">
        <f aca="false">(IF(AND(K64&lt;&gt;"Not Invoiced",H64&lt;&gt;""),H64,0))+(IF(AND(P64&lt;&gt;"Not Invoiced",M64&lt;&gt;""),M64,0))</f>
        <v>0</v>
      </c>
      <c r="W64" s="3" t="n">
        <f aca="false">(IF(K64="Paid",H64,0))+(IF(P64="Paid",M64,0))+(IF(U64="Active",R64,0))</f>
        <v>0</v>
      </c>
      <c r="X64" s="3" t="n">
        <f aca="false">IF(V64="","",V64-W64)</f>
        <v>0</v>
      </c>
      <c r="Y64" s="2"/>
      <c r="Z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3"/>
      <c r="G65" s="4"/>
      <c r="H65" s="3" t="str">
        <f aca="false">IF(OR(F65="",G65=""),"",F65*G65)</f>
        <v/>
      </c>
      <c r="I65" s="5"/>
      <c r="J65" s="5"/>
      <c r="K65" s="2"/>
      <c r="L65" s="5"/>
      <c r="M65" s="3" t="str">
        <f aca="false">IF(F65="","",F65-H65)</f>
        <v/>
      </c>
      <c r="N65" s="5"/>
      <c r="O65" s="5"/>
      <c r="P65" s="2"/>
      <c r="Q65" s="5"/>
      <c r="R65" s="3"/>
      <c r="S65" s="5"/>
      <c r="T65" s="5"/>
      <c r="U65" s="3"/>
      <c r="V65" s="3" t="n">
        <f aca="false">(IF(AND(K65&lt;&gt;"Not Invoiced",H65&lt;&gt;""),H65,0))+(IF(AND(P65&lt;&gt;"Not Invoiced",M65&lt;&gt;""),M65,0))</f>
        <v>0</v>
      </c>
      <c r="W65" s="3" t="n">
        <f aca="false">(IF(K65="Paid",H65,0))+(IF(P65="Paid",M65,0))+(IF(U65="Active",R65,0))</f>
        <v>0</v>
      </c>
      <c r="X65" s="3" t="n">
        <f aca="false">IF(V65="","",V65-W65)</f>
        <v>0</v>
      </c>
      <c r="Y65" s="2"/>
      <c r="Z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3"/>
      <c r="G66" s="4"/>
      <c r="H66" s="3" t="str">
        <f aca="false">IF(OR(F66="",G66=""),"",F66*G66)</f>
        <v/>
      </c>
      <c r="I66" s="5"/>
      <c r="J66" s="5"/>
      <c r="K66" s="2"/>
      <c r="L66" s="5"/>
      <c r="M66" s="3" t="str">
        <f aca="false">IF(F66="","",F66-H66)</f>
        <v/>
      </c>
      <c r="N66" s="5"/>
      <c r="O66" s="5"/>
      <c r="P66" s="2"/>
      <c r="Q66" s="5"/>
      <c r="R66" s="3"/>
      <c r="S66" s="5"/>
      <c r="T66" s="5"/>
      <c r="U66" s="3"/>
      <c r="V66" s="3" t="n">
        <f aca="false">(IF(AND(K66&lt;&gt;"Not Invoiced",H66&lt;&gt;""),H66,0))+(IF(AND(P66&lt;&gt;"Not Invoiced",M66&lt;&gt;""),M66,0))</f>
        <v>0</v>
      </c>
      <c r="W66" s="3" t="n">
        <f aca="false">(IF(K66="Paid",H66,0))+(IF(P66="Paid",M66,0))+(IF(U66="Active",R66,0))</f>
        <v>0</v>
      </c>
      <c r="X66" s="3" t="n">
        <f aca="false">IF(V66="","",V66-W66)</f>
        <v>0</v>
      </c>
      <c r="Y66" s="2"/>
      <c r="Z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3"/>
      <c r="G67" s="4"/>
      <c r="H67" s="3" t="str">
        <f aca="false">IF(OR(F67="",G67=""),"",F67*G67)</f>
        <v/>
      </c>
      <c r="I67" s="5"/>
      <c r="J67" s="5"/>
      <c r="K67" s="2"/>
      <c r="L67" s="5"/>
      <c r="M67" s="3" t="str">
        <f aca="false">IF(F67="","",F67-H67)</f>
        <v/>
      </c>
      <c r="N67" s="5"/>
      <c r="O67" s="5"/>
      <c r="P67" s="2"/>
      <c r="Q67" s="5"/>
      <c r="R67" s="3"/>
      <c r="S67" s="5"/>
      <c r="T67" s="5"/>
      <c r="U67" s="3"/>
      <c r="V67" s="3" t="n">
        <f aca="false">(IF(AND(K67&lt;&gt;"Not Invoiced",H67&lt;&gt;""),H67,0))+(IF(AND(P67&lt;&gt;"Not Invoiced",M67&lt;&gt;""),M67,0))</f>
        <v>0</v>
      </c>
      <c r="W67" s="3" t="n">
        <f aca="false">(IF(K67="Paid",H67,0))+(IF(P67="Paid",M67,0))+(IF(U67="Active",R67,0))</f>
        <v>0</v>
      </c>
      <c r="X67" s="3" t="n">
        <f aca="false">IF(V67="","",V67-W67)</f>
        <v>0</v>
      </c>
      <c r="Y67" s="2"/>
      <c r="Z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3"/>
      <c r="G68" s="4"/>
      <c r="H68" s="3" t="str">
        <f aca="false">IF(OR(F68="",G68=""),"",F68*G68)</f>
        <v/>
      </c>
      <c r="I68" s="5"/>
      <c r="J68" s="5"/>
      <c r="K68" s="2"/>
      <c r="L68" s="5"/>
      <c r="M68" s="3" t="str">
        <f aca="false">IF(F68="","",F68-H68)</f>
        <v/>
      </c>
      <c r="N68" s="5"/>
      <c r="O68" s="5"/>
      <c r="P68" s="2"/>
      <c r="Q68" s="5"/>
      <c r="R68" s="3"/>
      <c r="S68" s="5"/>
      <c r="T68" s="5"/>
      <c r="U68" s="3"/>
      <c r="V68" s="3" t="n">
        <f aca="false">(IF(AND(K68&lt;&gt;"Not Invoiced",H68&lt;&gt;""),H68,0))+(IF(AND(P68&lt;&gt;"Not Invoiced",M68&lt;&gt;""),M68,0))</f>
        <v>0</v>
      </c>
      <c r="W68" s="3" t="n">
        <f aca="false">(IF(K68="Paid",H68,0))+(IF(P68="Paid",M68,0))+(IF(U68="Active",R68,0))</f>
        <v>0</v>
      </c>
      <c r="X68" s="3" t="n">
        <f aca="false">IF(V68="","",V68-W68)</f>
        <v>0</v>
      </c>
      <c r="Y68" s="2"/>
      <c r="Z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3"/>
      <c r="G69" s="4"/>
      <c r="H69" s="3" t="str">
        <f aca="false">IF(OR(F69="",G69=""),"",F69*G69)</f>
        <v/>
      </c>
      <c r="I69" s="5"/>
      <c r="J69" s="5"/>
      <c r="K69" s="2"/>
      <c r="L69" s="5"/>
      <c r="M69" s="3" t="str">
        <f aca="false">IF(F69="","",F69-H69)</f>
        <v/>
      </c>
      <c r="N69" s="5"/>
      <c r="O69" s="5"/>
      <c r="P69" s="2"/>
      <c r="Q69" s="5"/>
      <c r="R69" s="3"/>
      <c r="S69" s="5"/>
      <c r="T69" s="5"/>
      <c r="U69" s="3"/>
      <c r="V69" s="3" t="n">
        <f aca="false">(IF(AND(K69&lt;&gt;"Not Invoiced",H69&lt;&gt;""),H69,0))+(IF(AND(P69&lt;&gt;"Not Invoiced",M69&lt;&gt;""),M69,0))</f>
        <v>0</v>
      </c>
      <c r="W69" s="3" t="n">
        <f aca="false">(IF(K69="Paid",H69,0))+(IF(P69="Paid",M69,0))+(IF(U69="Active",R69,0))</f>
        <v>0</v>
      </c>
      <c r="X69" s="3" t="n">
        <f aca="false">IF(V69="","",V69-W69)</f>
        <v>0</v>
      </c>
      <c r="Y69" s="2"/>
      <c r="Z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3"/>
      <c r="G70" s="4"/>
      <c r="H70" s="3" t="str">
        <f aca="false">IF(OR(F70="",G70=""),"",F70*G70)</f>
        <v/>
      </c>
      <c r="I70" s="5"/>
      <c r="J70" s="5"/>
      <c r="K70" s="2"/>
      <c r="L70" s="5"/>
      <c r="M70" s="3" t="str">
        <f aca="false">IF(F70="","",F70-H70)</f>
        <v/>
      </c>
      <c r="N70" s="5"/>
      <c r="O70" s="5"/>
      <c r="P70" s="2"/>
      <c r="Q70" s="5"/>
      <c r="R70" s="3"/>
      <c r="S70" s="5"/>
      <c r="T70" s="5"/>
      <c r="U70" s="3"/>
      <c r="V70" s="3" t="n">
        <f aca="false">(IF(AND(K70&lt;&gt;"Not Invoiced",H70&lt;&gt;""),H70,0))+(IF(AND(P70&lt;&gt;"Not Invoiced",M70&lt;&gt;""),M70,0))</f>
        <v>0</v>
      </c>
      <c r="W70" s="3" t="n">
        <f aca="false">(IF(K70="Paid",H70,0))+(IF(P70="Paid",M70,0))+(IF(U70="Active",R70,0))</f>
        <v>0</v>
      </c>
      <c r="X70" s="3" t="n">
        <f aca="false">IF(V70="","",V70-W70)</f>
        <v>0</v>
      </c>
      <c r="Y70" s="2"/>
      <c r="Z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3"/>
      <c r="G71" s="4"/>
      <c r="H71" s="3" t="str">
        <f aca="false">IF(OR(F71="",G71=""),"",F71*G71)</f>
        <v/>
      </c>
      <c r="I71" s="5"/>
      <c r="J71" s="5"/>
      <c r="K71" s="2"/>
      <c r="L71" s="5"/>
      <c r="M71" s="3" t="str">
        <f aca="false">IF(F71="","",F71-H71)</f>
        <v/>
      </c>
      <c r="N71" s="5"/>
      <c r="O71" s="5"/>
      <c r="P71" s="2"/>
      <c r="Q71" s="5"/>
      <c r="R71" s="3"/>
      <c r="S71" s="5"/>
      <c r="T71" s="5"/>
      <c r="U71" s="3"/>
      <c r="V71" s="3" t="n">
        <f aca="false">(IF(AND(K71&lt;&gt;"Not Invoiced",H71&lt;&gt;""),H71,0))+(IF(AND(P71&lt;&gt;"Not Invoiced",M71&lt;&gt;""),M71,0))</f>
        <v>0</v>
      </c>
      <c r="W71" s="3" t="n">
        <f aca="false">(IF(K71="Paid",H71,0))+(IF(P71="Paid",M71,0))+(IF(U71="Active",R71,0))</f>
        <v>0</v>
      </c>
      <c r="X71" s="3" t="n">
        <f aca="false">IF(V71="","",V71-W71)</f>
        <v>0</v>
      </c>
      <c r="Y71" s="2"/>
      <c r="Z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3"/>
      <c r="G72" s="4"/>
      <c r="H72" s="3" t="str">
        <f aca="false">IF(OR(F72="",G72=""),"",F72*G72)</f>
        <v/>
      </c>
      <c r="I72" s="5"/>
      <c r="J72" s="5"/>
      <c r="K72" s="2"/>
      <c r="L72" s="5"/>
      <c r="M72" s="3" t="str">
        <f aca="false">IF(F72="","",F72-H72)</f>
        <v/>
      </c>
      <c r="N72" s="5"/>
      <c r="O72" s="5"/>
      <c r="P72" s="2"/>
      <c r="Q72" s="5"/>
      <c r="R72" s="3"/>
      <c r="S72" s="5"/>
      <c r="T72" s="5"/>
      <c r="U72" s="3"/>
      <c r="V72" s="3" t="n">
        <f aca="false">(IF(AND(K72&lt;&gt;"Not Invoiced",H72&lt;&gt;""),H72,0))+(IF(AND(P72&lt;&gt;"Not Invoiced",M72&lt;&gt;""),M72,0))</f>
        <v>0</v>
      </c>
      <c r="W72" s="3" t="n">
        <f aca="false">(IF(K72="Paid",H72,0))+(IF(P72="Paid",M72,0))+(IF(U72="Active",R72,0))</f>
        <v>0</v>
      </c>
      <c r="X72" s="3" t="n">
        <f aca="false">IF(V72="","",V72-W72)</f>
        <v>0</v>
      </c>
      <c r="Y72" s="2"/>
      <c r="Z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3"/>
      <c r="G73" s="4"/>
      <c r="H73" s="3" t="str">
        <f aca="false">IF(OR(F73="",G73=""),"",F73*G73)</f>
        <v/>
      </c>
      <c r="I73" s="5"/>
      <c r="J73" s="5"/>
      <c r="K73" s="2"/>
      <c r="L73" s="5"/>
      <c r="M73" s="3" t="str">
        <f aca="false">IF(F73="","",F73-H73)</f>
        <v/>
      </c>
      <c r="N73" s="5"/>
      <c r="O73" s="5"/>
      <c r="P73" s="2"/>
      <c r="Q73" s="5"/>
      <c r="R73" s="3"/>
      <c r="S73" s="5"/>
      <c r="T73" s="5"/>
      <c r="U73" s="3"/>
      <c r="V73" s="3" t="n">
        <f aca="false">(IF(AND(K73&lt;&gt;"Not Invoiced",H73&lt;&gt;""),H73,0))+(IF(AND(P73&lt;&gt;"Not Invoiced",M73&lt;&gt;""),M73,0))</f>
        <v>0</v>
      </c>
      <c r="W73" s="3" t="n">
        <f aca="false">(IF(K73="Paid",H73,0))+(IF(P73="Paid",M73,0))+(IF(U73="Active",R73,0))</f>
        <v>0</v>
      </c>
      <c r="X73" s="3" t="n">
        <f aca="false">IF(V73="","",V73-W73)</f>
        <v>0</v>
      </c>
      <c r="Y73" s="2"/>
      <c r="Z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3"/>
      <c r="G74" s="4"/>
      <c r="H74" s="3" t="str">
        <f aca="false">IF(OR(F74="",G74=""),"",F74*G74)</f>
        <v/>
      </c>
      <c r="I74" s="5"/>
      <c r="J74" s="5"/>
      <c r="K74" s="2"/>
      <c r="L74" s="5"/>
      <c r="M74" s="3" t="str">
        <f aca="false">IF(F74="","",F74-H74)</f>
        <v/>
      </c>
      <c r="N74" s="5"/>
      <c r="O74" s="5"/>
      <c r="P74" s="2"/>
      <c r="Q74" s="5"/>
      <c r="R74" s="3"/>
      <c r="S74" s="5"/>
      <c r="T74" s="5"/>
      <c r="U74" s="3"/>
      <c r="V74" s="3" t="n">
        <f aca="false">(IF(AND(K74&lt;&gt;"Not Invoiced",H74&lt;&gt;""),H74,0))+(IF(AND(P74&lt;&gt;"Not Invoiced",M74&lt;&gt;""),M74,0))</f>
        <v>0</v>
      </c>
      <c r="W74" s="3" t="n">
        <f aca="false">(IF(K74="Paid",H74,0))+(IF(P74="Paid",M74,0))+(IF(U74="Active",R74,0))</f>
        <v>0</v>
      </c>
      <c r="X74" s="3" t="n">
        <f aca="false">IF(V74="","",V74-W74)</f>
        <v>0</v>
      </c>
      <c r="Y74" s="2"/>
      <c r="Z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3"/>
      <c r="G75" s="4"/>
      <c r="H75" s="3" t="str">
        <f aca="false">IF(OR(F75="",G75=""),"",F75*G75)</f>
        <v/>
      </c>
      <c r="I75" s="5"/>
      <c r="J75" s="5"/>
      <c r="K75" s="2"/>
      <c r="L75" s="5"/>
      <c r="M75" s="3" t="str">
        <f aca="false">IF(F75="","",F75-H75)</f>
        <v/>
      </c>
      <c r="N75" s="5"/>
      <c r="O75" s="5"/>
      <c r="P75" s="2"/>
      <c r="Q75" s="5"/>
      <c r="R75" s="3"/>
      <c r="S75" s="5"/>
      <c r="T75" s="5"/>
      <c r="U75" s="3"/>
      <c r="V75" s="3" t="n">
        <f aca="false">(IF(AND(K75&lt;&gt;"Not Invoiced",H75&lt;&gt;""),H75,0))+(IF(AND(P75&lt;&gt;"Not Invoiced",M75&lt;&gt;""),M75,0))</f>
        <v>0</v>
      </c>
      <c r="W75" s="3" t="n">
        <f aca="false">(IF(K75="Paid",H75,0))+(IF(P75="Paid",M75,0))+(IF(U75="Active",R75,0))</f>
        <v>0</v>
      </c>
      <c r="X75" s="3" t="n">
        <f aca="false">IF(V75="","",V75-W75)</f>
        <v>0</v>
      </c>
      <c r="Y75" s="2"/>
      <c r="Z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3"/>
      <c r="G76" s="4"/>
      <c r="H76" s="3" t="str">
        <f aca="false">IF(OR(F76="",G76=""),"",F76*G76)</f>
        <v/>
      </c>
      <c r="I76" s="5"/>
      <c r="J76" s="5"/>
      <c r="K76" s="2"/>
      <c r="L76" s="5"/>
      <c r="M76" s="3" t="str">
        <f aca="false">IF(F76="","",F76-H76)</f>
        <v/>
      </c>
      <c r="N76" s="5"/>
      <c r="O76" s="5"/>
      <c r="P76" s="2"/>
      <c r="Q76" s="5"/>
      <c r="R76" s="3"/>
      <c r="S76" s="5"/>
      <c r="T76" s="5"/>
      <c r="U76" s="3"/>
      <c r="V76" s="3" t="n">
        <f aca="false">(IF(AND(K76&lt;&gt;"Not Invoiced",H76&lt;&gt;""),H76,0))+(IF(AND(P76&lt;&gt;"Not Invoiced",M76&lt;&gt;""),M76,0))</f>
        <v>0</v>
      </c>
      <c r="W76" s="3" t="n">
        <f aca="false">(IF(K76="Paid",H76,0))+(IF(P76="Paid",M76,0))+(IF(U76="Active",R76,0))</f>
        <v>0</v>
      </c>
      <c r="X76" s="3" t="n">
        <f aca="false">IF(V76="","",V76-W76)</f>
        <v>0</v>
      </c>
      <c r="Y76" s="2"/>
      <c r="Z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3"/>
      <c r="G77" s="4"/>
      <c r="H77" s="3" t="str">
        <f aca="false">IF(OR(F77="",G77=""),"",F77*G77)</f>
        <v/>
      </c>
      <c r="I77" s="5"/>
      <c r="J77" s="5"/>
      <c r="K77" s="2"/>
      <c r="L77" s="5"/>
      <c r="M77" s="3" t="str">
        <f aca="false">IF(F77="","",F77-H77)</f>
        <v/>
      </c>
      <c r="N77" s="5"/>
      <c r="O77" s="5"/>
      <c r="P77" s="2"/>
      <c r="Q77" s="5"/>
      <c r="R77" s="3"/>
      <c r="S77" s="5"/>
      <c r="T77" s="5"/>
      <c r="U77" s="3"/>
      <c r="V77" s="3" t="n">
        <f aca="false">(IF(AND(K77&lt;&gt;"Not Invoiced",H77&lt;&gt;""),H77,0))+(IF(AND(P77&lt;&gt;"Not Invoiced",M77&lt;&gt;""),M77,0))</f>
        <v>0</v>
      </c>
      <c r="W77" s="3" t="n">
        <f aca="false">(IF(K77="Paid",H77,0))+(IF(P77="Paid",M77,0))+(IF(U77="Active",R77,0))</f>
        <v>0</v>
      </c>
      <c r="X77" s="3" t="n">
        <f aca="false">IF(V77="","",V77-W77)</f>
        <v>0</v>
      </c>
      <c r="Y77" s="2"/>
      <c r="Z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3"/>
      <c r="G78" s="4"/>
      <c r="H78" s="3" t="str">
        <f aca="false">IF(OR(F78="",G78=""),"",F78*G78)</f>
        <v/>
      </c>
      <c r="I78" s="5"/>
      <c r="J78" s="5"/>
      <c r="K78" s="2"/>
      <c r="L78" s="5"/>
      <c r="M78" s="3" t="str">
        <f aca="false">IF(F78="","",F78-H78)</f>
        <v/>
      </c>
      <c r="N78" s="5"/>
      <c r="O78" s="5"/>
      <c r="P78" s="2"/>
      <c r="Q78" s="5"/>
      <c r="R78" s="3"/>
      <c r="S78" s="5"/>
      <c r="T78" s="5"/>
      <c r="U78" s="3"/>
      <c r="V78" s="3" t="n">
        <f aca="false">(IF(AND(K78&lt;&gt;"Not Invoiced",H78&lt;&gt;""),H78,0))+(IF(AND(P78&lt;&gt;"Not Invoiced",M78&lt;&gt;""),M78,0))</f>
        <v>0</v>
      </c>
      <c r="W78" s="3" t="n">
        <f aca="false">(IF(K78="Paid",H78,0))+(IF(P78="Paid",M78,0))+(IF(U78="Active",R78,0))</f>
        <v>0</v>
      </c>
      <c r="X78" s="3" t="n">
        <f aca="false">IF(V78="","",V78-W78)</f>
        <v>0</v>
      </c>
      <c r="Y78" s="2"/>
      <c r="Z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3"/>
      <c r="G79" s="4"/>
      <c r="H79" s="3" t="str">
        <f aca="false">IF(OR(F79="",G79=""),"",F79*G79)</f>
        <v/>
      </c>
      <c r="I79" s="5"/>
      <c r="J79" s="5"/>
      <c r="K79" s="2"/>
      <c r="L79" s="5"/>
      <c r="M79" s="3" t="str">
        <f aca="false">IF(F79="","",F79-H79)</f>
        <v/>
      </c>
      <c r="N79" s="5"/>
      <c r="O79" s="5"/>
      <c r="P79" s="2"/>
      <c r="Q79" s="5"/>
      <c r="R79" s="3"/>
      <c r="S79" s="5"/>
      <c r="T79" s="5"/>
      <c r="U79" s="3"/>
      <c r="V79" s="3" t="n">
        <f aca="false">(IF(AND(K79&lt;&gt;"Not Invoiced",H79&lt;&gt;""),H79,0))+(IF(AND(P79&lt;&gt;"Not Invoiced",M79&lt;&gt;""),M79,0))</f>
        <v>0</v>
      </c>
      <c r="W79" s="3" t="n">
        <f aca="false">(IF(K79="Paid",H79,0))+(IF(P79="Paid",M79,0))+(IF(U79="Active",R79,0))</f>
        <v>0</v>
      </c>
      <c r="X79" s="3" t="n">
        <f aca="false">IF(V79="","",V79-W79)</f>
        <v>0</v>
      </c>
      <c r="Y79" s="2"/>
      <c r="Z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3"/>
      <c r="G80" s="4"/>
      <c r="H80" s="3" t="str">
        <f aca="false">IF(OR(F80="",G80=""),"",F80*G80)</f>
        <v/>
      </c>
      <c r="I80" s="5"/>
      <c r="J80" s="5"/>
      <c r="K80" s="2"/>
      <c r="L80" s="5"/>
      <c r="M80" s="3" t="str">
        <f aca="false">IF(F80="","",F80-H80)</f>
        <v/>
      </c>
      <c r="N80" s="5"/>
      <c r="O80" s="5"/>
      <c r="P80" s="2"/>
      <c r="Q80" s="5"/>
      <c r="R80" s="3"/>
      <c r="S80" s="5"/>
      <c r="T80" s="5"/>
      <c r="U80" s="3"/>
      <c r="V80" s="3" t="n">
        <f aca="false">(IF(AND(K80&lt;&gt;"Not Invoiced",H80&lt;&gt;""),H80,0))+(IF(AND(P80&lt;&gt;"Not Invoiced",M80&lt;&gt;""),M80,0))</f>
        <v>0</v>
      </c>
      <c r="W80" s="3" t="n">
        <f aca="false">(IF(K80="Paid",H80,0))+(IF(P80="Paid",M80,0))+(IF(U80="Active",R80,0))</f>
        <v>0</v>
      </c>
      <c r="X80" s="3" t="n">
        <f aca="false">IF(V80="","",V80-W80)</f>
        <v>0</v>
      </c>
      <c r="Y80" s="2"/>
      <c r="Z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3"/>
      <c r="G81" s="4"/>
      <c r="H81" s="3" t="str">
        <f aca="false">IF(OR(F81="",G81=""),"",F81*G81)</f>
        <v/>
      </c>
      <c r="I81" s="5"/>
      <c r="J81" s="5"/>
      <c r="K81" s="2"/>
      <c r="L81" s="5"/>
      <c r="M81" s="3" t="str">
        <f aca="false">IF(F81="","",F81-H81)</f>
        <v/>
      </c>
      <c r="N81" s="5"/>
      <c r="O81" s="5"/>
      <c r="P81" s="2"/>
      <c r="Q81" s="5"/>
      <c r="R81" s="3"/>
      <c r="S81" s="5"/>
      <c r="T81" s="5"/>
      <c r="U81" s="3"/>
      <c r="V81" s="3" t="n">
        <f aca="false">(IF(AND(K81&lt;&gt;"Not Invoiced",H81&lt;&gt;""),H81,0))+(IF(AND(P81&lt;&gt;"Not Invoiced",M81&lt;&gt;""),M81,0))</f>
        <v>0</v>
      </c>
      <c r="W81" s="3" t="n">
        <f aca="false">(IF(K81="Paid",H81,0))+(IF(P81="Paid",M81,0))+(IF(U81="Active",R81,0))</f>
        <v>0</v>
      </c>
      <c r="X81" s="3" t="n">
        <f aca="false">IF(V81="","",V81-W81)</f>
        <v>0</v>
      </c>
      <c r="Y81" s="2"/>
      <c r="Z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3"/>
      <c r="G82" s="4"/>
      <c r="H82" s="3" t="str">
        <f aca="false">IF(OR(F82="",G82=""),"",F82*G82)</f>
        <v/>
      </c>
      <c r="I82" s="5"/>
      <c r="J82" s="5"/>
      <c r="K82" s="2"/>
      <c r="L82" s="5"/>
      <c r="M82" s="3" t="str">
        <f aca="false">IF(F82="","",F82-H82)</f>
        <v/>
      </c>
      <c r="N82" s="5"/>
      <c r="O82" s="5"/>
      <c r="P82" s="2"/>
      <c r="Q82" s="5"/>
      <c r="R82" s="3"/>
      <c r="S82" s="5"/>
      <c r="T82" s="5"/>
      <c r="U82" s="3"/>
      <c r="V82" s="3" t="n">
        <f aca="false">(IF(AND(K82&lt;&gt;"Not Invoiced",H82&lt;&gt;""),H82,0))+(IF(AND(P82&lt;&gt;"Not Invoiced",M82&lt;&gt;""),M82,0))</f>
        <v>0</v>
      </c>
      <c r="W82" s="3" t="n">
        <f aca="false">(IF(K82="Paid",H82,0))+(IF(P82="Paid",M82,0))+(IF(U82="Active",R82,0))</f>
        <v>0</v>
      </c>
      <c r="X82" s="3" t="n">
        <f aca="false">IF(V82="","",V82-W82)</f>
        <v>0</v>
      </c>
      <c r="Y82" s="2"/>
      <c r="Z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3"/>
      <c r="G83" s="4"/>
      <c r="H83" s="3" t="str">
        <f aca="false">IF(OR(F83="",G83=""),"",F83*G83)</f>
        <v/>
      </c>
      <c r="I83" s="5"/>
      <c r="J83" s="5"/>
      <c r="K83" s="2"/>
      <c r="L83" s="5"/>
      <c r="M83" s="3" t="str">
        <f aca="false">IF(F83="","",F83-H83)</f>
        <v/>
      </c>
      <c r="N83" s="5"/>
      <c r="O83" s="5"/>
      <c r="P83" s="2"/>
      <c r="Q83" s="5"/>
      <c r="R83" s="3"/>
      <c r="S83" s="5"/>
      <c r="T83" s="5"/>
      <c r="U83" s="3"/>
      <c r="V83" s="3" t="n">
        <f aca="false">(IF(AND(K83&lt;&gt;"Not Invoiced",H83&lt;&gt;""),H83,0))+(IF(AND(P83&lt;&gt;"Not Invoiced",M83&lt;&gt;""),M83,0))</f>
        <v>0</v>
      </c>
      <c r="W83" s="3" t="n">
        <f aca="false">(IF(K83="Paid",H83,0))+(IF(P83="Paid",M83,0))+(IF(U83="Active",R83,0))</f>
        <v>0</v>
      </c>
      <c r="X83" s="3" t="n">
        <f aca="false">IF(V83="","",V83-W83)</f>
        <v>0</v>
      </c>
      <c r="Y83" s="2"/>
      <c r="Z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3"/>
      <c r="G84" s="4"/>
      <c r="H84" s="3" t="str">
        <f aca="false">IF(OR(F84="",G84=""),"",F84*G84)</f>
        <v/>
      </c>
      <c r="I84" s="5"/>
      <c r="J84" s="5"/>
      <c r="K84" s="2"/>
      <c r="L84" s="5"/>
      <c r="M84" s="3" t="str">
        <f aca="false">IF(F84="","",F84-H84)</f>
        <v/>
      </c>
      <c r="N84" s="5"/>
      <c r="O84" s="5"/>
      <c r="P84" s="2"/>
      <c r="Q84" s="5"/>
      <c r="R84" s="3"/>
      <c r="S84" s="5"/>
      <c r="T84" s="5"/>
      <c r="U84" s="3"/>
      <c r="V84" s="3" t="n">
        <f aca="false">(IF(AND(K84&lt;&gt;"Not Invoiced",H84&lt;&gt;""),H84,0))+(IF(AND(P84&lt;&gt;"Not Invoiced",M84&lt;&gt;""),M84,0))</f>
        <v>0</v>
      </c>
      <c r="W84" s="3" t="n">
        <f aca="false">(IF(K84="Paid",H84,0))+(IF(P84="Paid",M84,0))+(IF(U84="Active",R84,0))</f>
        <v>0</v>
      </c>
      <c r="X84" s="3" t="n">
        <f aca="false">IF(V84="","",V84-W84)</f>
        <v>0</v>
      </c>
      <c r="Y84" s="2"/>
      <c r="Z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3"/>
      <c r="G85" s="4"/>
      <c r="H85" s="3" t="str">
        <f aca="false">IF(OR(F85="",G85=""),"",F85*G85)</f>
        <v/>
      </c>
      <c r="I85" s="5"/>
      <c r="J85" s="5"/>
      <c r="K85" s="2"/>
      <c r="L85" s="5"/>
      <c r="M85" s="3" t="str">
        <f aca="false">IF(F85="","",F85-H85)</f>
        <v/>
      </c>
      <c r="N85" s="5"/>
      <c r="O85" s="5"/>
      <c r="P85" s="2"/>
      <c r="Q85" s="5"/>
      <c r="R85" s="3"/>
      <c r="S85" s="5"/>
      <c r="T85" s="5"/>
      <c r="U85" s="3"/>
      <c r="V85" s="3" t="n">
        <f aca="false">(IF(AND(K85&lt;&gt;"Not Invoiced",H85&lt;&gt;""),H85,0))+(IF(AND(P85&lt;&gt;"Not Invoiced",M85&lt;&gt;""),M85,0))</f>
        <v>0</v>
      </c>
      <c r="W85" s="3" t="n">
        <f aca="false">(IF(K85="Paid",H85,0))+(IF(P85="Paid",M85,0))+(IF(U85="Active",R85,0))</f>
        <v>0</v>
      </c>
      <c r="X85" s="3" t="n">
        <f aca="false">IF(V85="","",V85-W85)</f>
        <v>0</v>
      </c>
      <c r="Y85" s="2"/>
      <c r="Z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3"/>
      <c r="G86" s="4"/>
      <c r="H86" s="3" t="str">
        <f aca="false">IF(OR(F86="",G86=""),"",F86*G86)</f>
        <v/>
      </c>
      <c r="I86" s="5"/>
      <c r="J86" s="5"/>
      <c r="K86" s="2"/>
      <c r="L86" s="5"/>
      <c r="M86" s="3" t="str">
        <f aca="false">IF(F86="","",F86-H86)</f>
        <v/>
      </c>
      <c r="N86" s="5"/>
      <c r="O86" s="5"/>
      <c r="P86" s="2"/>
      <c r="Q86" s="5"/>
      <c r="R86" s="3"/>
      <c r="S86" s="5"/>
      <c r="T86" s="5"/>
      <c r="U86" s="3"/>
      <c r="V86" s="3" t="n">
        <f aca="false">(IF(AND(K86&lt;&gt;"Not Invoiced",H86&lt;&gt;""),H86,0))+(IF(AND(P86&lt;&gt;"Not Invoiced",M86&lt;&gt;""),M86,0))</f>
        <v>0</v>
      </c>
      <c r="W86" s="3" t="n">
        <f aca="false">(IF(K86="Paid",H86,0))+(IF(P86="Paid",M86,0))+(IF(U86="Active",R86,0))</f>
        <v>0</v>
      </c>
      <c r="X86" s="3" t="n">
        <f aca="false">IF(V86="","",V86-W86)</f>
        <v>0</v>
      </c>
      <c r="Y86" s="2"/>
      <c r="Z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3"/>
      <c r="G87" s="4"/>
      <c r="H87" s="3" t="str">
        <f aca="false">IF(OR(F87="",G87=""),"",F87*G87)</f>
        <v/>
      </c>
      <c r="I87" s="5"/>
      <c r="J87" s="5"/>
      <c r="K87" s="2"/>
      <c r="L87" s="5"/>
      <c r="M87" s="3" t="str">
        <f aca="false">IF(F87="","",F87-H87)</f>
        <v/>
      </c>
      <c r="N87" s="5"/>
      <c r="O87" s="5"/>
      <c r="P87" s="2"/>
      <c r="Q87" s="5"/>
      <c r="R87" s="3"/>
      <c r="S87" s="5"/>
      <c r="T87" s="5"/>
      <c r="U87" s="3"/>
      <c r="V87" s="3" t="n">
        <f aca="false">(IF(AND(K87&lt;&gt;"Not Invoiced",H87&lt;&gt;""),H87,0))+(IF(AND(P87&lt;&gt;"Not Invoiced",M87&lt;&gt;""),M87,0))</f>
        <v>0</v>
      </c>
      <c r="W87" s="3" t="n">
        <f aca="false">(IF(K87="Paid",H87,0))+(IF(P87="Paid",M87,0))+(IF(U87="Active",R87,0))</f>
        <v>0</v>
      </c>
      <c r="X87" s="3" t="n">
        <f aca="false">IF(V87="","",V87-W87)</f>
        <v>0</v>
      </c>
      <c r="Y87" s="2"/>
      <c r="Z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3"/>
      <c r="G88" s="4"/>
      <c r="H88" s="3" t="str">
        <f aca="false">IF(OR(F88="",G88=""),"",F88*G88)</f>
        <v/>
      </c>
      <c r="I88" s="5"/>
      <c r="J88" s="5"/>
      <c r="K88" s="2"/>
      <c r="L88" s="5"/>
      <c r="M88" s="3" t="str">
        <f aca="false">IF(F88="","",F88-H88)</f>
        <v/>
      </c>
      <c r="N88" s="5"/>
      <c r="O88" s="5"/>
      <c r="P88" s="2"/>
      <c r="Q88" s="5"/>
      <c r="R88" s="3"/>
      <c r="S88" s="5"/>
      <c r="T88" s="5"/>
      <c r="U88" s="3"/>
      <c r="V88" s="3" t="n">
        <f aca="false">(IF(AND(K88&lt;&gt;"Not Invoiced",H88&lt;&gt;""),H88,0))+(IF(AND(P88&lt;&gt;"Not Invoiced",M88&lt;&gt;""),M88,0))</f>
        <v>0</v>
      </c>
      <c r="W88" s="3" t="n">
        <f aca="false">(IF(K88="Paid",H88,0))+(IF(P88="Paid",M88,0))+(IF(U88="Active",R88,0))</f>
        <v>0</v>
      </c>
      <c r="X88" s="3" t="n">
        <f aca="false">IF(V88="","",V88-W88)</f>
        <v>0</v>
      </c>
      <c r="Y88" s="2"/>
      <c r="Z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3"/>
      <c r="G89" s="4"/>
      <c r="H89" s="3" t="str">
        <f aca="false">IF(OR(F89="",G89=""),"",F89*G89)</f>
        <v/>
      </c>
      <c r="I89" s="5"/>
      <c r="J89" s="5"/>
      <c r="K89" s="2"/>
      <c r="L89" s="5"/>
      <c r="M89" s="3" t="str">
        <f aca="false">IF(F89="","",F89-H89)</f>
        <v/>
      </c>
      <c r="N89" s="5"/>
      <c r="O89" s="5"/>
      <c r="P89" s="2"/>
      <c r="Q89" s="5"/>
      <c r="R89" s="3"/>
      <c r="S89" s="5"/>
      <c r="T89" s="5"/>
      <c r="U89" s="3"/>
      <c r="V89" s="3" t="n">
        <f aca="false">(IF(AND(K89&lt;&gt;"Not Invoiced",H89&lt;&gt;""),H89,0))+(IF(AND(P89&lt;&gt;"Not Invoiced",M89&lt;&gt;""),M89,0))</f>
        <v>0</v>
      </c>
      <c r="W89" s="3" t="n">
        <f aca="false">(IF(K89="Paid",H89,0))+(IF(P89="Paid",M89,0))+(IF(U89="Active",R89,0))</f>
        <v>0</v>
      </c>
      <c r="X89" s="3" t="n">
        <f aca="false">IF(V89="","",V89-W89)</f>
        <v>0</v>
      </c>
      <c r="Y89" s="2"/>
      <c r="Z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3"/>
      <c r="G90" s="4"/>
      <c r="H90" s="3" t="str">
        <f aca="false">IF(OR(F90="",G90=""),"",F90*G90)</f>
        <v/>
      </c>
      <c r="I90" s="5"/>
      <c r="J90" s="5"/>
      <c r="K90" s="2"/>
      <c r="L90" s="5"/>
      <c r="M90" s="3" t="str">
        <f aca="false">IF(F90="","",F90-H90)</f>
        <v/>
      </c>
      <c r="N90" s="5"/>
      <c r="O90" s="5"/>
      <c r="P90" s="2"/>
      <c r="Q90" s="5"/>
      <c r="R90" s="3"/>
      <c r="S90" s="5"/>
      <c r="T90" s="5"/>
      <c r="U90" s="3"/>
      <c r="V90" s="3" t="n">
        <f aca="false">(IF(AND(K90&lt;&gt;"Not Invoiced",H90&lt;&gt;""),H90,0))+(IF(AND(P90&lt;&gt;"Not Invoiced",M90&lt;&gt;""),M90,0))</f>
        <v>0</v>
      </c>
      <c r="W90" s="3" t="n">
        <f aca="false">(IF(K90="Paid",H90,0))+(IF(P90="Paid",M90,0))+(IF(U90="Active",R90,0))</f>
        <v>0</v>
      </c>
      <c r="X90" s="3" t="n">
        <f aca="false">IF(V90="","",V90-W90)</f>
        <v>0</v>
      </c>
      <c r="Y90" s="2"/>
      <c r="Z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3"/>
      <c r="G91" s="4"/>
      <c r="H91" s="3" t="str">
        <f aca="false">IF(OR(F91="",G91=""),"",F91*G91)</f>
        <v/>
      </c>
      <c r="I91" s="5"/>
      <c r="J91" s="5"/>
      <c r="K91" s="2"/>
      <c r="L91" s="5"/>
      <c r="M91" s="3" t="str">
        <f aca="false">IF(F91="","",F91-H91)</f>
        <v/>
      </c>
      <c r="N91" s="5"/>
      <c r="O91" s="5"/>
      <c r="P91" s="2"/>
      <c r="Q91" s="5"/>
      <c r="R91" s="3"/>
      <c r="S91" s="5"/>
      <c r="T91" s="5"/>
      <c r="U91" s="3"/>
      <c r="V91" s="3" t="n">
        <f aca="false">(IF(AND(K91&lt;&gt;"Not Invoiced",H91&lt;&gt;""),H91,0))+(IF(AND(P91&lt;&gt;"Not Invoiced",M91&lt;&gt;""),M91,0))</f>
        <v>0</v>
      </c>
      <c r="W91" s="3" t="n">
        <f aca="false">(IF(K91="Paid",H91,0))+(IF(P91="Paid",M91,0))+(IF(U91="Active",R91,0))</f>
        <v>0</v>
      </c>
      <c r="X91" s="3" t="n">
        <f aca="false">IF(V91="","",V91-W91)</f>
        <v>0</v>
      </c>
      <c r="Y91" s="2"/>
      <c r="Z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3"/>
      <c r="G92" s="4"/>
      <c r="H92" s="3" t="str">
        <f aca="false">IF(OR(F92="",G92=""),"",F92*G92)</f>
        <v/>
      </c>
      <c r="I92" s="5"/>
      <c r="J92" s="5"/>
      <c r="K92" s="2"/>
      <c r="L92" s="5"/>
      <c r="M92" s="3" t="str">
        <f aca="false">IF(F92="","",F92-H92)</f>
        <v/>
      </c>
      <c r="N92" s="5"/>
      <c r="O92" s="5"/>
      <c r="P92" s="2"/>
      <c r="Q92" s="5"/>
      <c r="R92" s="3"/>
      <c r="S92" s="5"/>
      <c r="T92" s="5"/>
      <c r="U92" s="3"/>
      <c r="V92" s="3" t="n">
        <f aca="false">(IF(AND(K92&lt;&gt;"Not Invoiced",H92&lt;&gt;""),H92,0))+(IF(AND(P92&lt;&gt;"Not Invoiced",M92&lt;&gt;""),M92,0))</f>
        <v>0</v>
      </c>
      <c r="W92" s="3" t="n">
        <f aca="false">(IF(K92="Paid",H92,0))+(IF(P92="Paid",M92,0))+(IF(U92="Active",R92,0))</f>
        <v>0</v>
      </c>
      <c r="X92" s="3" t="n">
        <f aca="false">IF(V92="","",V92-W92)</f>
        <v>0</v>
      </c>
      <c r="Y92" s="2"/>
      <c r="Z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3"/>
      <c r="G93" s="4"/>
      <c r="H93" s="3" t="str">
        <f aca="false">IF(OR(F93="",G93=""),"",F93*G93)</f>
        <v/>
      </c>
      <c r="I93" s="5"/>
      <c r="J93" s="5"/>
      <c r="K93" s="2"/>
      <c r="L93" s="5"/>
      <c r="M93" s="3" t="str">
        <f aca="false">IF(F93="","",F93-H93)</f>
        <v/>
      </c>
      <c r="N93" s="5"/>
      <c r="O93" s="5"/>
      <c r="P93" s="2"/>
      <c r="Q93" s="5"/>
      <c r="R93" s="3"/>
      <c r="S93" s="5"/>
      <c r="T93" s="5"/>
      <c r="U93" s="3"/>
      <c r="V93" s="3" t="n">
        <f aca="false">(IF(AND(K93&lt;&gt;"Not Invoiced",H93&lt;&gt;""),H93,0))+(IF(AND(P93&lt;&gt;"Not Invoiced",M93&lt;&gt;""),M93,0))</f>
        <v>0</v>
      </c>
      <c r="W93" s="3" t="n">
        <f aca="false">(IF(K93="Paid",H93,0))+(IF(P93="Paid",M93,0))+(IF(U93="Active",R93,0))</f>
        <v>0</v>
      </c>
      <c r="X93" s="3" t="n">
        <f aca="false">IF(V93="","",V93-W93)</f>
        <v>0</v>
      </c>
      <c r="Y93" s="2"/>
      <c r="Z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3"/>
      <c r="G94" s="4"/>
      <c r="H94" s="3" t="str">
        <f aca="false">IF(OR(F94="",G94=""),"",F94*G94)</f>
        <v/>
      </c>
      <c r="I94" s="5"/>
      <c r="J94" s="5"/>
      <c r="K94" s="2"/>
      <c r="L94" s="5"/>
      <c r="M94" s="3" t="str">
        <f aca="false">IF(F94="","",F94-H94)</f>
        <v/>
      </c>
      <c r="N94" s="5"/>
      <c r="O94" s="5"/>
      <c r="P94" s="2"/>
      <c r="Q94" s="5"/>
      <c r="R94" s="3"/>
      <c r="S94" s="5"/>
      <c r="T94" s="5"/>
      <c r="U94" s="3"/>
      <c r="V94" s="3" t="n">
        <f aca="false">(IF(AND(K94&lt;&gt;"Not Invoiced",H94&lt;&gt;""),H94,0))+(IF(AND(P94&lt;&gt;"Not Invoiced",M94&lt;&gt;""),M94,0))</f>
        <v>0</v>
      </c>
      <c r="W94" s="3" t="n">
        <f aca="false">(IF(K94="Paid",H94,0))+(IF(P94="Paid",M94,0))+(IF(U94="Active",R94,0))</f>
        <v>0</v>
      </c>
      <c r="X94" s="3" t="n">
        <f aca="false">IF(V94="","",V94-W94)</f>
        <v>0</v>
      </c>
      <c r="Y94" s="2"/>
      <c r="Z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3"/>
      <c r="G95" s="4"/>
      <c r="H95" s="3" t="str">
        <f aca="false">IF(OR(F95="",G95=""),"",F95*G95)</f>
        <v/>
      </c>
      <c r="I95" s="5"/>
      <c r="J95" s="5"/>
      <c r="K95" s="2"/>
      <c r="L95" s="5"/>
      <c r="M95" s="3" t="str">
        <f aca="false">IF(F95="","",F95-H95)</f>
        <v/>
      </c>
      <c r="N95" s="5"/>
      <c r="O95" s="5"/>
      <c r="P95" s="2"/>
      <c r="Q95" s="5"/>
      <c r="R95" s="3"/>
      <c r="S95" s="5"/>
      <c r="T95" s="5"/>
      <c r="U95" s="3"/>
      <c r="V95" s="3" t="n">
        <f aca="false">(IF(AND(K95&lt;&gt;"Not Invoiced",H95&lt;&gt;""),H95,0))+(IF(AND(P95&lt;&gt;"Not Invoiced",M95&lt;&gt;""),M95,0))</f>
        <v>0</v>
      </c>
      <c r="W95" s="3" t="n">
        <f aca="false">(IF(K95="Paid",H95,0))+(IF(P95="Paid",M95,0))+(IF(U95="Active",R95,0))</f>
        <v>0</v>
      </c>
      <c r="X95" s="3" t="n">
        <f aca="false">IF(V95="","",V95-W95)</f>
        <v>0</v>
      </c>
      <c r="Y95" s="2"/>
      <c r="Z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3"/>
      <c r="G96" s="4"/>
      <c r="H96" s="3" t="str">
        <f aca="false">IF(OR(F96="",G96=""),"",F96*G96)</f>
        <v/>
      </c>
      <c r="I96" s="5"/>
      <c r="J96" s="5"/>
      <c r="K96" s="2"/>
      <c r="L96" s="5"/>
      <c r="M96" s="3" t="str">
        <f aca="false">IF(F96="","",F96-H96)</f>
        <v/>
      </c>
      <c r="N96" s="5"/>
      <c r="O96" s="5"/>
      <c r="P96" s="2"/>
      <c r="Q96" s="5"/>
      <c r="R96" s="3"/>
      <c r="S96" s="5"/>
      <c r="T96" s="5"/>
      <c r="U96" s="3"/>
      <c r="V96" s="3" t="n">
        <f aca="false">(IF(AND(K96&lt;&gt;"Not Invoiced",H96&lt;&gt;""),H96,0))+(IF(AND(P96&lt;&gt;"Not Invoiced",M96&lt;&gt;""),M96,0))</f>
        <v>0</v>
      </c>
      <c r="W96" s="3" t="n">
        <f aca="false">(IF(K96="Paid",H96,0))+(IF(P96="Paid",M96,0))+(IF(U96="Active",R96,0))</f>
        <v>0</v>
      </c>
      <c r="X96" s="3" t="n">
        <f aca="false">IF(V96="","",V96-W96)</f>
        <v>0</v>
      </c>
      <c r="Y96" s="2"/>
      <c r="Z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3"/>
      <c r="G97" s="4"/>
      <c r="H97" s="3" t="str">
        <f aca="false">IF(OR(F97="",G97=""),"",F97*G97)</f>
        <v/>
      </c>
      <c r="I97" s="5"/>
      <c r="J97" s="5"/>
      <c r="K97" s="2"/>
      <c r="L97" s="5"/>
      <c r="M97" s="3" t="str">
        <f aca="false">IF(F97="","",F97-H97)</f>
        <v/>
      </c>
      <c r="N97" s="5"/>
      <c r="O97" s="5"/>
      <c r="P97" s="2"/>
      <c r="Q97" s="5"/>
      <c r="R97" s="3"/>
      <c r="S97" s="5"/>
      <c r="T97" s="5"/>
      <c r="U97" s="3"/>
      <c r="V97" s="3" t="n">
        <f aca="false">(IF(AND(K97&lt;&gt;"Not Invoiced",H97&lt;&gt;""),H97,0))+(IF(AND(P97&lt;&gt;"Not Invoiced",M97&lt;&gt;""),M97,0))</f>
        <v>0</v>
      </c>
      <c r="W97" s="3" t="n">
        <f aca="false">(IF(K97="Paid",H97,0))+(IF(P97="Paid",M97,0))+(IF(U97="Active",R97,0))</f>
        <v>0</v>
      </c>
      <c r="X97" s="3" t="n">
        <f aca="false">IF(V97="","",V97-W97)</f>
        <v>0</v>
      </c>
      <c r="Y97" s="2"/>
      <c r="Z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3"/>
      <c r="G98" s="4"/>
      <c r="H98" s="3" t="str">
        <f aca="false">IF(OR(F98="",G98=""),"",F98*G98)</f>
        <v/>
      </c>
      <c r="I98" s="5"/>
      <c r="J98" s="5"/>
      <c r="K98" s="2"/>
      <c r="L98" s="5"/>
      <c r="M98" s="3" t="str">
        <f aca="false">IF(F98="","",F98-H98)</f>
        <v/>
      </c>
      <c r="N98" s="5"/>
      <c r="O98" s="5"/>
      <c r="P98" s="2"/>
      <c r="Q98" s="5"/>
      <c r="R98" s="3"/>
      <c r="S98" s="5"/>
      <c r="T98" s="5"/>
      <c r="U98" s="3"/>
      <c r="V98" s="3" t="n">
        <f aca="false">(IF(AND(K98&lt;&gt;"Not Invoiced",H98&lt;&gt;""),H98,0))+(IF(AND(P98&lt;&gt;"Not Invoiced",M98&lt;&gt;""),M98,0))</f>
        <v>0</v>
      </c>
      <c r="W98" s="3" t="n">
        <f aca="false">(IF(K98="Paid",H98,0))+(IF(P98="Paid",M98,0))+(IF(U98="Active",R98,0))</f>
        <v>0</v>
      </c>
      <c r="X98" s="3" t="n">
        <f aca="false">IF(V98="","",V98-W98)</f>
        <v>0</v>
      </c>
      <c r="Y98" s="2"/>
      <c r="Z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3"/>
      <c r="G99" s="4"/>
      <c r="H99" s="3" t="str">
        <f aca="false">IF(OR(F99="",G99=""),"",F99*G99)</f>
        <v/>
      </c>
      <c r="I99" s="5"/>
      <c r="J99" s="5"/>
      <c r="K99" s="2"/>
      <c r="L99" s="5"/>
      <c r="M99" s="3" t="str">
        <f aca="false">IF(F99="","",F99-H99)</f>
        <v/>
      </c>
      <c r="N99" s="5"/>
      <c r="O99" s="5"/>
      <c r="P99" s="2"/>
      <c r="Q99" s="5"/>
      <c r="R99" s="3"/>
      <c r="S99" s="5"/>
      <c r="T99" s="5"/>
      <c r="U99" s="3"/>
      <c r="V99" s="3" t="n">
        <f aca="false">(IF(AND(K99&lt;&gt;"Not Invoiced",H99&lt;&gt;""),H99,0))+(IF(AND(P99&lt;&gt;"Not Invoiced",M99&lt;&gt;""),M99,0))</f>
        <v>0</v>
      </c>
      <c r="W99" s="3" t="n">
        <f aca="false">(IF(K99="Paid",H99,0))+(IF(P99="Paid",M99,0))+(IF(U99="Active",R99,0))</f>
        <v>0</v>
      </c>
      <c r="X99" s="3" t="n">
        <f aca="false">IF(V99="","",V99-W99)</f>
        <v>0</v>
      </c>
      <c r="Y99" s="2"/>
      <c r="Z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3"/>
      <c r="G100" s="4"/>
      <c r="H100" s="3" t="str">
        <f aca="false">IF(OR(F100="",G100=""),"",F100*G100)</f>
        <v/>
      </c>
      <c r="I100" s="5"/>
      <c r="J100" s="5"/>
      <c r="K100" s="2"/>
      <c r="L100" s="5"/>
      <c r="M100" s="3" t="str">
        <f aca="false">IF(F100="","",F100-H100)</f>
        <v/>
      </c>
      <c r="N100" s="5"/>
      <c r="O100" s="5"/>
      <c r="P100" s="2"/>
      <c r="Q100" s="5"/>
      <c r="R100" s="3"/>
      <c r="S100" s="5"/>
      <c r="T100" s="5"/>
      <c r="U100" s="3"/>
      <c r="V100" s="3" t="n">
        <f aca="false">(IF(AND(K100&lt;&gt;"Not Invoiced",H100&lt;&gt;""),H100,0))+(IF(AND(P100&lt;&gt;"Not Invoiced",M100&lt;&gt;""),M100,0))</f>
        <v>0</v>
      </c>
      <c r="W100" s="3" t="n">
        <f aca="false">(IF(K100="Paid",H100,0))+(IF(P100="Paid",M100,0))+(IF(U100="Active",R100,0))</f>
        <v>0</v>
      </c>
      <c r="X100" s="3" t="n">
        <f aca="false">IF(V100="","",V100-W100)</f>
        <v>0</v>
      </c>
      <c r="Y100" s="2"/>
      <c r="Z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3"/>
      <c r="G101" s="4"/>
      <c r="H101" s="3" t="str">
        <f aca="false">IF(OR(F101="",G101=""),"",F101*G101)</f>
        <v/>
      </c>
      <c r="I101" s="5"/>
      <c r="J101" s="5"/>
      <c r="K101" s="2"/>
      <c r="L101" s="5"/>
      <c r="M101" s="3" t="str">
        <f aca="false">IF(F101="","",F101-H101)</f>
        <v/>
      </c>
      <c r="N101" s="5"/>
      <c r="O101" s="5"/>
      <c r="P101" s="2"/>
      <c r="Q101" s="5"/>
      <c r="R101" s="3"/>
      <c r="S101" s="5"/>
      <c r="T101" s="5"/>
      <c r="U101" s="3"/>
      <c r="V101" s="3" t="n">
        <f aca="false">(IF(AND(K101&lt;&gt;"Not Invoiced",H101&lt;&gt;""),H101,0))+(IF(AND(P101&lt;&gt;"Not Invoiced",M101&lt;&gt;""),M101,0))</f>
        <v>0</v>
      </c>
      <c r="W101" s="3" t="n">
        <f aca="false">(IF(K101="Paid",H101,0))+(IF(P101="Paid",M101,0))+(IF(U101="Active",R101,0))</f>
        <v>0</v>
      </c>
      <c r="X101" s="3" t="n">
        <f aca="false">IF(V101="","",V101-W101)</f>
        <v>0</v>
      </c>
      <c r="Y101" s="2"/>
      <c r="Z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3"/>
      <c r="G102" s="4"/>
      <c r="H102" s="3" t="str">
        <f aca="false">IF(OR(F102="",G102=""),"",F102*G102)</f>
        <v/>
      </c>
      <c r="I102" s="5"/>
      <c r="J102" s="5"/>
      <c r="K102" s="2"/>
      <c r="L102" s="5"/>
      <c r="M102" s="3" t="str">
        <f aca="false">IF(F102="","",F102-H102)</f>
        <v/>
      </c>
      <c r="N102" s="5"/>
      <c r="O102" s="5"/>
      <c r="P102" s="2"/>
      <c r="Q102" s="5"/>
      <c r="R102" s="3"/>
      <c r="S102" s="5"/>
      <c r="T102" s="5"/>
      <c r="U102" s="3"/>
      <c r="V102" s="3" t="n">
        <f aca="false">(IF(AND(K102&lt;&gt;"Not Invoiced",H102&lt;&gt;""),H102,0))+(IF(AND(P102&lt;&gt;"Not Invoiced",M102&lt;&gt;""),M102,0))</f>
        <v>0</v>
      </c>
      <c r="W102" s="3" t="n">
        <f aca="false">(IF(K102="Paid",H102,0))+(IF(P102="Paid",M102,0))+(IF(U102="Active",R102,0))</f>
        <v>0</v>
      </c>
      <c r="X102" s="3" t="n">
        <f aca="false">IF(V102="","",V102-W102)</f>
        <v>0</v>
      </c>
      <c r="Y102" s="2"/>
      <c r="Z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3"/>
      <c r="G103" s="4"/>
      <c r="H103" s="3" t="str">
        <f aca="false">IF(OR(F103="",G103=""),"",F103*G103)</f>
        <v/>
      </c>
      <c r="I103" s="5"/>
      <c r="J103" s="5"/>
      <c r="K103" s="2"/>
      <c r="L103" s="5"/>
      <c r="M103" s="3" t="str">
        <f aca="false">IF(F103="","",F103-H103)</f>
        <v/>
      </c>
      <c r="N103" s="5"/>
      <c r="O103" s="5"/>
      <c r="P103" s="2"/>
      <c r="Q103" s="5"/>
      <c r="R103" s="3"/>
      <c r="S103" s="5"/>
      <c r="T103" s="5"/>
      <c r="U103" s="3"/>
      <c r="V103" s="3" t="n">
        <f aca="false">(IF(AND(K103&lt;&gt;"Not Invoiced",H103&lt;&gt;""),H103,0))+(IF(AND(P103&lt;&gt;"Not Invoiced",M103&lt;&gt;""),M103,0))</f>
        <v>0</v>
      </c>
      <c r="W103" s="3" t="n">
        <f aca="false">(IF(K103="Paid",H103,0))+(IF(P103="Paid",M103,0))+(IF(U103="Active",R103,0))</f>
        <v>0</v>
      </c>
      <c r="X103" s="3" t="n">
        <f aca="false">IF(V103="","",V103-W103)</f>
        <v>0</v>
      </c>
      <c r="Y103" s="2"/>
      <c r="Z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3"/>
      <c r="G104" s="4"/>
      <c r="H104" s="3" t="str">
        <f aca="false">IF(OR(F104="",G104=""),"",F104*G104)</f>
        <v/>
      </c>
      <c r="I104" s="5"/>
      <c r="J104" s="5"/>
      <c r="K104" s="2"/>
      <c r="L104" s="5"/>
      <c r="M104" s="3" t="str">
        <f aca="false">IF(F104="","",F104-H104)</f>
        <v/>
      </c>
      <c r="N104" s="5"/>
      <c r="O104" s="5"/>
      <c r="P104" s="2"/>
      <c r="Q104" s="5"/>
      <c r="R104" s="3"/>
      <c r="S104" s="5"/>
      <c r="T104" s="5"/>
      <c r="U104" s="3"/>
      <c r="V104" s="3" t="n">
        <f aca="false">(IF(AND(K104&lt;&gt;"Not Invoiced",H104&lt;&gt;""),H104,0))+(IF(AND(P104&lt;&gt;"Not Invoiced",M104&lt;&gt;""),M104,0))</f>
        <v>0</v>
      </c>
      <c r="W104" s="3" t="n">
        <f aca="false">(IF(K104="Paid",H104,0))+(IF(P104="Paid",M104,0))+(IF(U104="Active",R104,0))</f>
        <v>0</v>
      </c>
      <c r="X104" s="3" t="n">
        <f aca="false">IF(V104="","",V104-W104)</f>
        <v>0</v>
      </c>
      <c r="Y104" s="2"/>
      <c r="Z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3"/>
      <c r="G105" s="4"/>
      <c r="H105" s="3" t="str">
        <f aca="false">IF(OR(F105="",G105=""),"",F105*G105)</f>
        <v/>
      </c>
      <c r="I105" s="5"/>
      <c r="J105" s="5"/>
      <c r="K105" s="2"/>
      <c r="L105" s="5"/>
      <c r="M105" s="3" t="str">
        <f aca="false">IF(F105="","",F105-H105)</f>
        <v/>
      </c>
      <c r="N105" s="5"/>
      <c r="O105" s="5"/>
      <c r="P105" s="2"/>
      <c r="Q105" s="5"/>
      <c r="R105" s="3"/>
      <c r="S105" s="5"/>
      <c r="T105" s="5"/>
      <c r="U105" s="3"/>
      <c r="V105" s="3" t="n">
        <f aca="false">(IF(AND(K105&lt;&gt;"Not Invoiced",H105&lt;&gt;""),H105,0))+(IF(AND(P105&lt;&gt;"Not Invoiced",M105&lt;&gt;""),M105,0))</f>
        <v>0</v>
      </c>
      <c r="W105" s="3" t="n">
        <f aca="false">(IF(K105="Paid",H105,0))+(IF(P105="Paid",M105,0))+(IF(U105="Active",R105,0))</f>
        <v>0</v>
      </c>
      <c r="X105" s="3" t="n">
        <f aca="false">IF(V105="","",V105-W105)</f>
        <v>0</v>
      </c>
      <c r="Y105" s="2"/>
      <c r="Z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3"/>
      <c r="G106" s="4"/>
      <c r="H106" s="3" t="str">
        <f aca="false">IF(OR(F106="",G106=""),"",F106*G106)</f>
        <v/>
      </c>
      <c r="I106" s="5"/>
      <c r="J106" s="5"/>
      <c r="K106" s="2"/>
      <c r="L106" s="5"/>
      <c r="M106" s="3" t="str">
        <f aca="false">IF(F106="","",F106-H106)</f>
        <v/>
      </c>
      <c r="N106" s="5"/>
      <c r="O106" s="5"/>
      <c r="P106" s="2"/>
      <c r="Q106" s="5"/>
      <c r="R106" s="3"/>
      <c r="S106" s="5"/>
      <c r="T106" s="5"/>
      <c r="U106" s="3"/>
      <c r="V106" s="3" t="n">
        <f aca="false">(IF(AND(K106&lt;&gt;"Not Invoiced",H106&lt;&gt;""),H106,0))+(IF(AND(P106&lt;&gt;"Not Invoiced",M106&lt;&gt;""),M106,0))</f>
        <v>0</v>
      </c>
      <c r="W106" s="3" t="n">
        <f aca="false">(IF(K106="Paid",H106,0))+(IF(P106="Paid",M106,0))+(IF(U106="Active",R106,0))</f>
        <v>0</v>
      </c>
      <c r="X106" s="3" t="n">
        <f aca="false">IF(V106="","",V106-W106)</f>
        <v>0</v>
      </c>
      <c r="Y106" s="2"/>
      <c r="Z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3"/>
      <c r="G107" s="4"/>
      <c r="H107" s="3" t="str">
        <f aca="false">IF(OR(F107="",G107=""),"",F107*G107)</f>
        <v/>
      </c>
      <c r="I107" s="5"/>
      <c r="J107" s="5"/>
      <c r="K107" s="2"/>
      <c r="L107" s="5"/>
      <c r="M107" s="3" t="str">
        <f aca="false">IF(F107="","",F107-H107)</f>
        <v/>
      </c>
      <c r="N107" s="5"/>
      <c r="O107" s="5"/>
      <c r="P107" s="2"/>
      <c r="Q107" s="5"/>
      <c r="R107" s="3"/>
      <c r="S107" s="5"/>
      <c r="T107" s="5"/>
      <c r="U107" s="3"/>
      <c r="V107" s="3" t="n">
        <f aca="false">(IF(AND(K107&lt;&gt;"Not Invoiced",H107&lt;&gt;""),H107,0))+(IF(AND(P107&lt;&gt;"Not Invoiced",M107&lt;&gt;""),M107,0))</f>
        <v>0</v>
      </c>
      <c r="W107" s="3" t="n">
        <f aca="false">(IF(K107="Paid",H107,0))+(IF(P107="Paid",M107,0))+(IF(U107="Active",R107,0))</f>
        <v>0</v>
      </c>
      <c r="X107" s="3" t="n">
        <f aca="false">IF(V107="","",V107-W107)</f>
        <v>0</v>
      </c>
      <c r="Y107" s="2"/>
      <c r="Z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3"/>
      <c r="G108" s="4"/>
      <c r="H108" s="3" t="str">
        <f aca="false">IF(OR(F108="",G108=""),"",F108*G108)</f>
        <v/>
      </c>
      <c r="I108" s="5"/>
      <c r="J108" s="5"/>
      <c r="K108" s="2"/>
      <c r="L108" s="5"/>
      <c r="M108" s="3" t="str">
        <f aca="false">IF(F108="","",F108-H108)</f>
        <v/>
      </c>
      <c r="N108" s="5"/>
      <c r="O108" s="5"/>
      <c r="P108" s="2"/>
      <c r="Q108" s="5"/>
      <c r="R108" s="3"/>
      <c r="S108" s="5"/>
      <c r="T108" s="5"/>
      <c r="U108" s="3"/>
      <c r="V108" s="3" t="n">
        <f aca="false">(IF(AND(K108&lt;&gt;"Not Invoiced",H108&lt;&gt;""),H108,0))+(IF(AND(P108&lt;&gt;"Not Invoiced",M108&lt;&gt;""),M108,0))</f>
        <v>0</v>
      </c>
      <c r="W108" s="3" t="n">
        <f aca="false">(IF(K108="Paid",H108,0))+(IF(P108="Paid",M108,0))+(IF(U108="Active",R108,0))</f>
        <v>0</v>
      </c>
      <c r="X108" s="3" t="n">
        <f aca="false">IF(V108="","",V108-W108)</f>
        <v>0</v>
      </c>
      <c r="Y108" s="2"/>
      <c r="Z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3"/>
      <c r="G109" s="4"/>
      <c r="H109" s="3" t="str">
        <f aca="false">IF(OR(F109="",G109=""),"",F109*G109)</f>
        <v/>
      </c>
      <c r="I109" s="5"/>
      <c r="J109" s="5"/>
      <c r="K109" s="2"/>
      <c r="L109" s="5"/>
      <c r="M109" s="3" t="str">
        <f aca="false">IF(F109="","",F109-H109)</f>
        <v/>
      </c>
      <c r="N109" s="5"/>
      <c r="O109" s="5"/>
      <c r="P109" s="2"/>
      <c r="Q109" s="5"/>
      <c r="R109" s="3"/>
      <c r="S109" s="5"/>
      <c r="T109" s="5"/>
      <c r="U109" s="3"/>
      <c r="V109" s="3" t="n">
        <f aca="false">(IF(AND(K109&lt;&gt;"Not Invoiced",H109&lt;&gt;""),H109,0))+(IF(AND(P109&lt;&gt;"Not Invoiced",M109&lt;&gt;""),M109,0))</f>
        <v>0</v>
      </c>
      <c r="W109" s="3" t="n">
        <f aca="false">(IF(K109="Paid",H109,0))+(IF(P109="Paid",M109,0))+(IF(U109="Active",R109,0))</f>
        <v>0</v>
      </c>
      <c r="X109" s="3" t="n">
        <f aca="false">IF(V109="","",V109-W109)</f>
        <v>0</v>
      </c>
      <c r="Y109" s="2"/>
      <c r="Z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3"/>
      <c r="G110" s="4"/>
      <c r="H110" s="3" t="str">
        <f aca="false">IF(OR(F110="",G110=""),"",F110*G110)</f>
        <v/>
      </c>
      <c r="I110" s="5"/>
      <c r="J110" s="5"/>
      <c r="K110" s="2"/>
      <c r="L110" s="5"/>
      <c r="M110" s="3" t="str">
        <f aca="false">IF(F110="","",F110-H110)</f>
        <v/>
      </c>
      <c r="N110" s="5"/>
      <c r="O110" s="5"/>
      <c r="P110" s="2"/>
      <c r="Q110" s="5"/>
      <c r="R110" s="3"/>
      <c r="S110" s="5"/>
      <c r="T110" s="5"/>
      <c r="U110" s="3"/>
      <c r="V110" s="3" t="n">
        <f aca="false">(IF(AND(K110&lt;&gt;"Not Invoiced",H110&lt;&gt;""),H110,0))+(IF(AND(P110&lt;&gt;"Not Invoiced",M110&lt;&gt;""),M110,0))</f>
        <v>0</v>
      </c>
      <c r="W110" s="3" t="n">
        <f aca="false">(IF(K110="Paid",H110,0))+(IF(P110="Paid",M110,0))+(IF(U110="Active",R110,0))</f>
        <v>0</v>
      </c>
      <c r="X110" s="3" t="n">
        <f aca="false">IF(V110="","",V110-W110)</f>
        <v>0</v>
      </c>
      <c r="Y110" s="2"/>
      <c r="Z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3"/>
      <c r="G111" s="4"/>
      <c r="H111" s="3" t="str">
        <f aca="false">IF(OR(F111="",G111=""),"",F111*G111)</f>
        <v/>
      </c>
      <c r="I111" s="5"/>
      <c r="J111" s="5"/>
      <c r="K111" s="2"/>
      <c r="L111" s="5"/>
      <c r="M111" s="3" t="str">
        <f aca="false">IF(F111="","",F111-H111)</f>
        <v/>
      </c>
      <c r="N111" s="5"/>
      <c r="O111" s="5"/>
      <c r="P111" s="2"/>
      <c r="Q111" s="5"/>
      <c r="R111" s="3"/>
      <c r="S111" s="5"/>
      <c r="T111" s="5"/>
      <c r="U111" s="3"/>
      <c r="V111" s="3" t="n">
        <f aca="false">(IF(AND(K111&lt;&gt;"Not Invoiced",H111&lt;&gt;""),H111,0))+(IF(AND(P111&lt;&gt;"Not Invoiced",M111&lt;&gt;""),M111,0))</f>
        <v>0</v>
      </c>
      <c r="W111" s="3" t="n">
        <f aca="false">(IF(K111="Paid",H111,0))+(IF(P111="Paid",M111,0))+(IF(U111="Active",R111,0))</f>
        <v>0</v>
      </c>
      <c r="X111" s="3" t="n">
        <f aca="false">IF(V111="","",V111-W111)</f>
        <v>0</v>
      </c>
      <c r="Y111" s="2"/>
      <c r="Z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3"/>
      <c r="G112" s="4"/>
      <c r="H112" s="3" t="str">
        <f aca="false">IF(OR(F112="",G112=""),"",F112*G112)</f>
        <v/>
      </c>
      <c r="I112" s="5"/>
      <c r="J112" s="5"/>
      <c r="K112" s="2"/>
      <c r="L112" s="5"/>
      <c r="M112" s="3" t="str">
        <f aca="false">IF(F112="","",F112-H112)</f>
        <v/>
      </c>
      <c r="N112" s="5"/>
      <c r="O112" s="5"/>
      <c r="P112" s="2"/>
      <c r="Q112" s="5"/>
      <c r="R112" s="3"/>
      <c r="S112" s="5"/>
      <c r="T112" s="5"/>
      <c r="U112" s="3"/>
      <c r="V112" s="3" t="n">
        <f aca="false">(IF(AND(K112&lt;&gt;"Not Invoiced",H112&lt;&gt;""),H112,0))+(IF(AND(P112&lt;&gt;"Not Invoiced",M112&lt;&gt;""),M112,0))</f>
        <v>0</v>
      </c>
      <c r="W112" s="3" t="n">
        <f aca="false">(IF(K112="Paid",H112,0))+(IF(P112="Paid",M112,0))+(IF(U112="Active",R112,0))</f>
        <v>0</v>
      </c>
      <c r="X112" s="3" t="n">
        <f aca="false">IF(V112="","",V112-W112)</f>
        <v>0</v>
      </c>
      <c r="Y112" s="2"/>
      <c r="Z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3"/>
      <c r="G113" s="4"/>
      <c r="H113" s="3" t="str">
        <f aca="false">IF(OR(F113="",G113=""),"",F113*G113)</f>
        <v/>
      </c>
      <c r="I113" s="5"/>
      <c r="J113" s="5"/>
      <c r="K113" s="2"/>
      <c r="L113" s="5"/>
      <c r="M113" s="3" t="str">
        <f aca="false">IF(F113="","",F113-H113)</f>
        <v/>
      </c>
      <c r="N113" s="5"/>
      <c r="O113" s="5"/>
      <c r="P113" s="2"/>
      <c r="Q113" s="5"/>
      <c r="R113" s="3"/>
      <c r="S113" s="5"/>
      <c r="T113" s="5"/>
      <c r="U113" s="3"/>
      <c r="V113" s="3" t="n">
        <f aca="false">(IF(AND(K113&lt;&gt;"Not Invoiced",H113&lt;&gt;""),H113,0))+(IF(AND(P113&lt;&gt;"Not Invoiced",M113&lt;&gt;""),M113,0))</f>
        <v>0</v>
      </c>
      <c r="W113" s="3" t="n">
        <f aca="false">(IF(K113="Paid",H113,0))+(IF(P113="Paid",M113,0))+(IF(U113="Active",R113,0))</f>
        <v>0</v>
      </c>
      <c r="X113" s="3" t="n">
        <f aca="false">IF(V113="","",V113-W113)</f>
        <v>0</v>
      </c>
      <c r="Y113" s="2"/>
      <c r="Z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3"/>
      <c r="G114" s="4"/>
      <c r="H114" s="3" t="str">
        <f aca="false">IF(OR(F114="",G114=""),"",F114*G114)</f>
        <v/>
      </c>
      <c r="I114" s="5"/>
      <c r="J114" s="5"/>
      <c r="K114" s="2"/>
      <c r="L114" s="5"/>
      <c r="M114" s="3" t="str">
        <f aca="false">IF(F114="","",F114-H114)</f>
        <v/>
      </c>
      <c r="N114" s="5"/>
      <c r="O114" s="5"/>
      <c r="P114" s="2"/>
      <c r="Q114" s="5"/>
      <c r="R114" s="3"/>
      <c r="S114" s="5"/>
      <c r="T114" s="5"/>
      <c r="U114" s="3"/>
      <c r="V114" s="3" t="n">
        <f aca="false">(IF(AND(K114&lt;&gt;"Not Invoiced",H114&lt;&gt;""),H114,0))+(IF(AND(P114&lt;&gt;"Not Invoiced",M114&lt;&gt;""),M114,0))</f>
        <v>0</v>
      </c>
      <c r="W114" s="3" t="n">
        <f aca="false">(IF(K114="Paid",H114,0))+(IF(P114="Paid",M114,0))+(IF(U114="Active",R114,0))</f>
        <v>0</v>
      </c>
      <c r="X114" s="3" t="n">
        <f aca="false">IF(V114="","",V114-W114)</f>
        <v>0</v>
      </c>
      <c r="Y114" s="2"/>
      <c r="Z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3"/>
      <c r="G115" s="4"/>
      <c r="H115" s="3" t="str">
        <f aca="false">IF(OR(F115="",G115=""),"",F115*G115)</f>
        <v/>
      </c>
      <c r="I115" s="5"/>
      <c r="J115" s="5"/>
      <c r="K115" s="2"/>
      <c r="L115" s="5"/>
      <c r="M115" s="3" t="str">
        <f aca="false">IF(F115="","",F115-H115)</f>
        <v/>
      </c>
      <c r="N115" s="5"/>
      <c r="O115" s="5"/>
      <c r="P115" s="2"/>
      <c r="Q115" s="5"/>
      <c r="R115" s="3"/>
      <c r="S115" s="5"/>
      <c r="T115" s="5"/>
      <c r="U115" s="3"/>
      <c r="V115" s="3" t="n">
        <f aca="false">(IF(AND(K115&lt;&gt;"Not Invoiced",H115&lt;&gt;""),H115,0))+(IF(AND(P115&lt;&gt;"Not Invoiced",M115&lt;&gt;""),M115,0))</f>
        <v>0</v>
      </c>
      <c r="W115" s="3" t="n">
        <f aca="false">(IF(K115="Paid",H115,0))+(IF(P115="Paid",M115,0))+(IF(U115="Active",R115,0))</f>
        <v>0</v>
      </c>
      <c r="X115" s="3" t="n">
        <f aca="false">IF(V115="","",V115-W115)</f>
        <v>0</v>
      </c>
      <c r="Y115" s="2"/>
      <c r="Z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3"/>
      <c r="G116" s="4"/>
      <c r="H116" s="3" t="str">
        <f aca="false">IF(OR(F116="",G116=""),"",F116*G116)</f>
        <v/>
      </c>
      <c r="I116" s="5"/>
      <c r="J116" s="5"/>
      <c r="K116" s="2"/>
      <c r="L116" s="5"/>
      <c r="M116" s="3" t="str">
        <f aca="false">IF(F116="","",F116-H116)</f>
        <v/>
      </c>
      <c r="N116" s="5"/>
      <c r="O116" s="5"/>
      <c r="P116" s="2"/>
      <c r="Q116" s="5"/>
      <c r="R116" s="3"/>
      <c r="S116" s="5"/>
      <c r="T116" s="5"/>
      <c r="U116" s="3"/>
      <c r="V116" s="3" t="n">
        <f aca="false">(IF(AND(K116&lt;&gt;"Not Invoiced",H116&lt;&gt;""),H116,0))+(IF(AND(P116&lt;&gt;"Not Invoiced",M116&lt;&gt;""),M116,0))</f>
        <v>0</v>
      </c>
      <c r="W116" s="3" t="n">
        <f aca="false">(IF(K116="Paid",H116,0))+(IF(P116="Paid",M116,0))+(IF(U116="Active",R116,0))</f>
        <v>0</v>
      </c>
      <c r="X116" s="3" t="n">
        <f aca="false">IF(V116="","",V116-W116)</f>
        <v>0</v>
      </c>
      <c r="Y116" s="2"/>
      <c r="Z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3"/>
      <c r="G117" s="4"/>
      <c r="H117" s="3" t="str">
        <f aca="false">IF(OR(F117="",G117=""),"",F117*G117)</f>
        <v/>
      </c>
      <c r="I117" s="5"/>
      <c r="J117" s="5"/>
      <c r="K117" s="2"/>
      <c r="L117" s="5"/>
      <c r="M117" s="3" t="str">
        <f aca="false">IF(F117="","",F117-H117)</f>
        <v/>
      </c>
      <c r="N117" s="5"/>
      <c r="O117" s="5"/>
      <c r="P117" s="2"/>
      <c r="Q117" s="5"/>
      <c r="R117" s="3"/>
      <c r="S117" s="5"/>
      <c r="T117" s="5"/>
      <c r="U117" s="3"/>
      <c r="V117" s="3" t="n">
        <f aca="false">(IF(AND(K117&lt;&gt;"Not Invoiced",H117&lt;&gt;""),H117,0))+(IF(AND(P117&lt;&gt;"Not Invoiced",M117&lt;&gt;""),M117,0))</f>
        <v>0</v>
      </c>
      <c r="W117" s="3" t="n">
        <f aca="false">(IF(K117="Paid",H117,0))+(IF(P117="Paid",M117,0))+(IF(U117="Active",R117,0))</f>
        <v>0</v>
      </c>
      <c r="X117" s="3" t="n">
        <f aca="false">IF(V117="","",V117-W117)</f>
        <v>0</v>
      </c>
      <c r="Y117" s="2"/>
      <c r="Z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3"/>
      <c r="G118" s="4"/>
      <c r="H118" s="3" t="str">
        <f aca="false">IF(OR(F118="",G118=""),"",F118*G118)</f>
        <v/>
      </c>
      <c r="I118" s="5"/>
      <c r="J118" s="5"/>
      <c r="K118" s="2"/>
      <c r="L118" s="5"/>
      <c r="M118" s="3" t="str">
        <f aca="false">IF(F118="","",F118-H118)</f>
        <v/>
      </c>
      <c r="N118" s="5"/>
      <c r="O118" s="5"/>
      <c r="P118" s="2"/>
      <c r="Q118" s="5"/>
      <c r="R118" s="3"/>
      <c r="S118" s="5"/>
      <c r="T118" s="5"/>
      <c r="U118" s="3"/>
      <c r="V118" s="3" t="n">
        <f aca="false">(IF(AND(K118&lt;&gt;"Not Invoiced",H118&lt;&gt;""),H118,0))+(IF(AND(P118&lt;&gt;"Not Invoiced",M118&lt;&gt;""),M118,0))</f>
        <v>0</v>
      </c>
      <c r="W118" s="3" t="n">
        <f aca="false">(IF(K118="Paid",H118,0))+(IF(P118="Paid",M118,0))+(IF(U118="Active",R118,0))</f>
        <v>0</v>
      </c>
      <c r="X118" s="3" t="n">
        <f aca="false">IF(V118="","",V118-W118)</f>
        <v>0</v>
      </c>
      <c r="Y118" s="2"/>
      <c r="Z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3"/>
      <c r="G119" s="4"/>
      <c r="H119" s="3" t="str">
        <f aca="false">IF(OR(F119="",G119=""),"",F119*G119)</f>
        <v/>
      </c>
      <c r="I119" s="5"/>
      <c r="J119" s="5"/>
      <c r="K119" s="2"/>
      <c r="L119" s="5"/>
      <c r="M119" s="3" t="str">
        <f aca="false">IF(F119="","",F119-H119)</f>
        <v/>
      </c>
      <c r="N119" s="5"/>
      <c r="O119" s="5"/>
      <c r="P119" s="2"/>
      <c r="Q119" s="5"/>
      <c r="R119" s="3"/>
      <c r="S119" s="5"/>
      <c r="T119" s="5"/>
      <c r="U119" s="3"/>
      <c r="V119" s="3" t="n">
        <f aca="false">(IF(AND(K119&lt;&gt;"Not Invoiced",H119&lt;&gt;""),H119,0))+(IF(AND(P119&lt;&gt;"Not Invoiced",M119&lt;&gt;""),M119,0))</f>
        <v>0</v>
      </c>
      <c r="W119" s="3" t="n">
        <f aca="false">(IF(K119="Paid",H119,0))+(IF(P119="Paid",M119,0))+(IF(U119="Active",R119,0))</f>
        <v>0</v>
      </c>
      <c r="X119" s="3" t="n">
        <f aca="false">IF(V119="","",V119-W119)</f>
        <v>0</v>
      </c>
      <c r="Y119" s="2"/>
      <c r="Z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3"/>
      <c r="G120" s="4"/>
      <c r="H120" s="3" t="str">
        <f aca="false">IF(OR(F120="",G120=""),"",F120*G120)</f>
        <v/>
      </c>
      <c r="I120" s="5"/>
      <c r="J120" s="5"/>
      <c r="K120" s="2"/>
      <c r="L120" s="5"/>
      <c r="M120" s="3" t="str">
        <f aca="false">IF(F120="","",F120-H120)</f>
        <v/>
      </c>
      <c r="N120" s="5"/>
      <c r="O120" s="5"/>
      <c r="P120" s="2"/>
      <c r="Q120" s="5"/>
      <c r="R120" s="3"/>
      <c r="S120" s="5"/>
      <c r="T120" s="5"/>
      <c r="U120" s="3"/>
      <c r="V120" s="3" t="n">
        <f aca="false">(IF(AND(K120&lt;&gt;"Not Invoiced",H120&lt;&gt;""),H120,0))+(IF(AND(P120&lt;&gt;"Not Invoiced",M120&lt;&gt;""),M120,0))</f>
        <v>0</v>
      </c>
      <c r="W120" s="3" t="n">
        <f aca="false">(IF(K120="Paid",H120,0))+(IF(P120="Paid",M120,0))+(IF(U120="Active",R120,0))</f>
        <v>0</v>
      </c>
      <c r="X120" s="3" t="n">
        <f aca="false">IF(V120="","",V120-W120)</f>
        <v>0</v>
      </c>
      <c r="Y120" s="2"/>
      <c r="Z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3"/>
      <c r="G121" s="4"/>
      <c r="H121" s="3" t="str">
        <f aca="false">IF(OR(F121="",G121=""),"",F121*G121)</f>
        <v/>
      </c>
      <c r="I121" s="5"/>
      <c r="J121" s="5"/>
      <c r="K121" s="2"/>
      <c r="L121" s="5"/>
      <c r="M121" s="3" t="str">
        <f aca="false">IF(F121="","",F121-H121)</f>
        <v/>
      </c>
      <c r="N121" s="5"/>
      <c r="O121" s="5"/>
      <c r="P121" s="2"/>
      <c r="Q121" s="5"/>
      <c r="R121" s="3"/>
      <c r="S121" s="5"/>
      <c r="T121" s="5"/>
      <c r="U121" s="3"/>
      <c r="V121" s="3" t="n">
        <f aca="false">(IF(AND(K121&lt;&gt;"Not Invoiced",H121&lt;&gt;""),H121,0))+(IF(AND(P121&lt;&gt;"Not Invoiced",M121&lt;&gt;""),M121,0))</f>
        <v>0</v>
      </c>
      <c r="W121" s="3" t="n">
        <f aca="false">(IF(K121="Paid",H121,0))+(IF(P121="Paid",M121,0))+(IF(U121="Active",R121,0))</f>
        <v>0</v>
      </c>
      <c r="X121" s="3" t="n">
        <f aca="false">IF(V121="","",V121-W121)</f>
        <v>0</v>
      </c>
      <c r="Y121" s="2"/>
      <c r="Z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3"/>
      <c r="G122" s="4"/>
      <c r="H122" s="3" t="str">
        <f aca="false">IF(OR(F122="",G122=""),"",F122*G122)</f>
        <v/>
      </c>
      <c r="I122" s="5"/>
      <c r="J122" s="5"/>
      <c r="K122" s="2"/>
      <c r="L122" s="5"/>
      <c r="M122" s="3" t="str">
        <f aca="false">IF(F122="","",F122-H122)</f>
        <v/>
      </c>
      <c r="N122" s="5"/>
      <c r="O122" s="5"/>
      <c r="P122" s="2"/>
      <c r="Q122" s="5"/>
      <c r="R122" s="3"/>
      <c r="S122" s="5"/>
      <c r="T122" s="5"/>
      <c r="U122" s="3"/>
      <c r="V122" s="3" t="n">
        <f aca="false">(IF(AND(K122&lt;&gt;"Not Invoiced",H122&lt;&gt;""),H122,0))+(IF(AND(P122&lt;&gt;"Not Invoiced",M122&lt;&gt;""),M122,0))</f>
        <v>0</v>
      </c>
      <c r="W122" s="3" t="n">
        <f aca="false">(IF(K122="Paid",H122,0))+(IF(P122="Paid",M122,0))+(IF(U122="Active",R122,0))</f>
        <v>0</v>
      </c>
      <c r="X122" s="3" t="n">
        <f aca="false">IF(V122="","",V122-W122)</f>
        <v>0</v>
      </c>
      <c r="Y122" s="2"/>
      <c r="Z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3"/>
      <c r="G123" s="4"/>
      <c r="H123" s="3" t="str">
        <f aca="false">IF(OR(F123="",G123=""),"",F123*G123)</f>
        <v/>
      </c>
      <c r="I123" s="5"/>
      <c r="J123" s="5"/>
      <c r="K123" s="2"/>
      <c r="L123" s="5"/>
      <c r="M123" s="3" t="str">
        <f aca="false">IF(F123="","",F123-H123)</f>
        <v/>
      </c>
      <c r="N123" s="5"/>
      <c r="O123" s="5"/>
      <c r="P123" s="2"/>
      <c r="Q123" s="5"/>
      <c r="R123" s="3"/>
      <c r="S123" s="5"/>
      <c r="T123" s="5"/>
      <c r="U123" s="3"/>
      <c r="V123" s="3" t="n">
        <f aca="false">(IF(AND(K123&lt;&gt;"Not Invoiced",H123&lt;&gt;""),H123,0))+(IF(AND(P123&lt;&gt;"Not Invoiced",M123&lt;&gt;""),M123,0))</f>
        <v>0</v>
      </c>
      <c r="W123" s="3" t="n">
        <f aca="false">(IF(K123="Paid",H123,0))+(IF(P123="Paid",M123,0))+(IF(U123="Active",R123,0))</f>
        <v>0</v>
      </c>
      <c r="X123" s="3" t="n">
        <f aca="false">IF(V123="","",V123-W123)</f>
        <v>0</v>
      </c>
      <c r="Y123" s="2"/>
      <c r="Z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3"/>
      <c r="G124" s="4"/>
      <c r="H124" s="3" t="str">
        <f aca="false">IF(OR(F124="",G124=""),"",F124*G124)</f>
        <v/>
      </c>
      <c r="I124" s="5"/>
      <c r="J124" s="5"/>
      <c r="K124" s="2"/>
      <c r="L124" s="5"/>
      <c r="M124" s="3" t="str">
        <f aca="false">IF(F124="","",F124-H124)</f>
        <v/>
      </c>
      <c r="N124" s="5"/>
      <c r="O124" s="5"/>
      <c r="P124" s="2"/>
      <c r="Q124" s="5"/>
      <c r="R124" s="3"/>
      <c r="S124" s="5"/>
      <c r="T124" s="5"/>
      <c r="U124" s="3"/>
      <c r="V124" s="3" t="n">
        <f aca="false">(IF(AND(K124&lt;&gt;"Not Invoiced",H124&lt;&gt;""),H124,0))+(IF(AND(P124&lt;&gt;"Not Invoiced",M124&lt;&gt;""),M124,0))</f>
        <v>0</v>
      </c>
      <c r="W124" s="3" t="n">
        <f aca="false">(IF(K124="Paid",H124,0))+(IF(P124="Paid",M124,0))+(IF(U124="Active",R124,0))</f>
        <v>0</v>
      </c>
      <c r="X124" s="3" t="n">
        <f aca="false">IF(V124="","",V124-W124)</f>
        <v>0</v>
      </c>
      <c r="Y124" s="2"/>
      <c r="Z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3"/>
      <c r="G125" s="4"/>
      <c r="H125" s="3" t="str">
        <f aca="false">IF(OR(F125="",G125=""),"",F125*G125)</f>
        <v/>
      </c>
      <c r="I125" s="5"/>
      <c r="J125" s="5"/>
      <c r="K125" s="2"/>
      <c r="L125" s="5"/>
      <c r="M125" s="3" t="str">
        <f aca="false">IF(F125="","",F125-H125)</f>
        <v/>
      </c>
      <c r="N125" s="5"/>
      <c r="O125" s="5"/>
      <c r="P125" s="2"/>
      <c r="Q125" s="5"/>
      <c r="R125" s="3"/>
      <c r="S125" s="5"/>
      <c r="T125" s="5"/>
      <c r="U125" s="3"/>
      <c r="V125" s="3" t="n">
        <f aca="false">(IF(AND(K125&lt;&gt;"Not Invoiced",H125&lt;&gt;""),H125,0))+(IF(AND(P125&lt;&gt;"Not Invoiced",M125&lt;&gt;""),M125,0))</f>
        <v>0</v>
      </c>
      <c r="W125" s="3" t="n">
        <f aca="false">(IF(K125="Paid",H125,0))+(IF(P125="Paid",M125,0))+(IF(U125="Active",R125,0))</f>
        <v>0</v>
      </c>
      <c r="X125" s="3" t="n">
        <f aca="false">IF(V125="","",V125-W125)</f>
        <v>0</v>
      </c>
      <c r="Y125" s="2"/>
      <c r="Z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3"/>
      <c r="G126" s="4"/>
      <c r="H126" s="3" t="str">
        <f aca="false">IF(OR(F126="",G126=""),"",F126*G126)</f>
        <v/>
      </c>
      <c r="I126" s="5"/>
      <c r="J126" s="5"/>
      <c r="K126" s="2"/>
      <c r="L126" s="5"/>
      <c r="M126" s="3" t="str">
        <f aca="false">IF(F126="","",F126-H126)</f>
        <v/>
      </c>
      <c r="N126" s="5"/>
      <c r="O126" s="5"/>
      <c r="P126" s="2"/>
      <c r="Q126" s="5"/>
      <c r="R126" s="3"/>
      <c r="S126" s="5"/>
      <c r="T126" s="5"/>
      <c r="U126" s="3"/>
      <c r="V126" s="3" t="n">
        <f aca="false">(IF(AND(K126&lt;&gt;"Not Invoiced",H126&lt;&gt;""),H126,0))+(IF(AND(P126&lt;&gt;"Not Invoiced",M126&lt;&gt;""),M126,0))</f>
        <v>0</v>
      </c>
      <c r="W126" s="3" t="n">
        <f aca="false">(IF(K126="Paid",H126,0))+(IF(P126="Paid",M126,0))+(IF(U126="Active",R126,0))</f>
        <v>0</v>
      </c>
      <c r="X126" s="3" t="n">
        <f aca="false">IF(V126="","",V126-W126)</f>
        <v>0</v>
      </c>
      <c r="Y126" s="2"/>
      <c r="Z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3"/>
      <c r="G127" s="4"/>
      <c r="H127" s="3" t="str">
        <f aca="false">IF(OR(F127="",G127=""),"",F127*G127)</f>
        <v/>
      </c>
      <c r="I127" s="5"/>
      <c r="J127" s="5"/>
      <c r="K127" s="2"/>
      <c r="L127" s="5"/>
      <c r="M127" s="3" t="str">
        <f aca="false">IF(F127="","",F127-H127)</f>
        <v/>
      </c>
      <c r="N127" s="5"/>
      <c r="O127" s="5"/>
      <c r="P127" s="2"/>
      <c r="Q127" s="5"/>
      <c r="R127" s="3"/>
      <c r="S127" s="5"/>
      <c r="T127" s="5"/>
      <c r="U127" s="3"/>
      <c r="V127" s="3" t="n">
        <f aca="false">(IF(AND(K127&lt;&gt;"Not Invoiced",H127&lt;&gt;""),H127,0))+(IF(AND(P127&lt;&gt;"Not Invoiced",M127&lt;&gt;""),M127,0))</f>
        <v>0</v>
      </c>
      <c r="W127" s="3" t="n">
        <f aca="false">(IF(K127="Paid",H127,0))+(IF(P127="Paid",M127,0))+(IF(U127="Active",R127,0))</f>
        <v>0</v>
      </c>
      <c r="X127" s="3" t="n">
        <f aca="false">IF(V127="","",V127-W127)</f>
        <v>0</v>
      </c>
      <c r="Y127" s="2"/>
      <c r="Z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3"/>
      <c r="G128" s="4"/>
      <c r="H128" s="3" t="str">
        <f aca="false">IF(OR(F128="",G128=""),"",F128*G128)</f>
        <v/>
      </c>
      <c r="I128" s="5"/>
      <c r="J128" s="5"/>
      <c r="K128" s="2"/>
      <c r="L128" s="5"/>
      <c r="M128" s="3" t="str">
        <f aca="false">IF(F128="","",F128-H128)</f>
        <v/>
      </c>
      <c r="N128" s="5"/>
      <c r="O128" s="5"/>
      <c r="P128" s="2"/>
      <c r="Q128" s="5"/>
      <c r="R128" s="3"/>
      <c r="S128" s="5"/>
      <c r="T128" s="5"/>
      <c r="U128" s="3"/>
      <c r="V128" s="3" t="n">
        <f aca="false">(IF(AND(K128&lt;&gt;"Not Invoiced",H128&lt;&gt;""),H128,0))+(IF(AND(P128&lt;&gt;"Not Invoiced",M128&lt;&gt;""),M128,0))</f>
        <v>0</v>
      </c>
      <c r="W128" s="3" t="n">
        <f aca="false">(IF(K128="Paid",H128,0))+(IF(P128="Paid",M128,0))+(IF(U128="Active",R128,0))</f>
        <v>0</v>
      </c>
      <c r="X128" s="3" t="n">
        <f aca="false">IF(V128="","",V128-W128)</f>
        <v>0</v>
      </c>
      <c r="Y128" s="2"/>
      <c r="Z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3"/>
      <c r="G129" s="4"/>
      <c r="H129" s="3" t="str">
        <f aca="false">IF(OR(F129="",G129=""),"",F129*G129)</f>
        <v/>
      </c>
      <c r="I129" s="5"/>
      <c r="J129" s="5"/>
      <c r="K129" s="2"/>
      <c r="L129" s="5"/>
      <c r="M129" s="3" t="str">
        <f aca="false">IF(F129="","",F129-H129)</f>
        <v/>
      </c>
      <c r="N129" s="5"/>
      <c r="O129" s="5"/>
      <c r="P129" s="2"/>
      <c r="Q129" s="5"/>
      <c r="R129" s="3"/>
      <c r="S129" s="5"/>
      <c r="T129" s="5"/>
      <c r="U129" s="3"/>
      <c r="V129" s="3" t="n">
        <f aca="false">(IF(AND(K129&lt;&gt;"Not Invoiced",H129&lt;&gt;""),H129,0))+(IF(AND(P129&lt;&gt;"Not Invoiced",M129&lt;&gt;""),M129,0))</f>
        <v>0</v>
      </c>
      <c r="W129" s="3" t="n">
        <f aca="false">(IF(K129="Paid",H129,0))+(IF(P129="Paid",M129,0))+(IF(U129="Active",R129,0))</f>
        <v>0</v>
      </c>
      <c r="X129" s="3" t="n">
        <f aca="false">IF(V129="","",V129-W129)</f>
        <v>0</v>
      </c>
      <c r="Y129" s="2"/>
      <c r="Z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3"/>
      <c r="G130" s="4"/>
      <c r="H130" s="3" t="str">
        <f aca="false">IF(OR(F130="",G130=""),"",F130*G130)</f>
        <v/>
      </c>
      <c r="I130" s="5"/>
      <c r="J130" s="5"/>
      <c r="K130" s="2"/>
      <c r="L130" s="5"/>
      <c r="M130" s="3" t="str">
        <f aca="false">IF(F130="","",F130-H130)</f>
        <v/>
      </c>
      <c r="N130" s="5"/>
      <c r="O130" s="5"/>
      <c r="P130" s="2"/>
      <c r="Q130" s="5"/>
      <c r="R130" s="3"/>
      <c r="S130" s="5"/>
      <c r="T130" s="5"/>
      <c r="U130" s="3"/>
      <c r="V130" s="3" t="n">
        <f aca="false">(IF(AND(K130&lt;&gt;"Not Invoiced",H130&lt;&gt;""),H130,0))+(IF(AND(P130&lt;&gt;"Not Invoiced",M130&lt;&gt;""),M130,0))</f>
        <v>0</v>
      </c>
      <c r="W130" s="3" t="n">
        <f aca="false">(IF(K130="Paid",H130,0))+(IF(P130="Paid",M130,0))+(IF(U130="Active",R130,0))</f>
        <v>0</v>
      </c>
      <c r="X130" s="3" t="n">
        <f aca="false">IF(V130="","",V130-W130)</f>
        <v>0</v>
      </c>
      <c r="Y130" s="2"/>
      <c r="Z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3"/>
      <c r="G131" s="4"/>
      <c r="H131" s="3" t="str">
        <f aca="false">IF(OR(F131="",G131=""),"",F131*G131)</f>
        <v/>
      </c>
      <c r="I131" s="5"/>
      <c r="J131" s="5"/>
      <c r="K131" s="2"/>
      <c r="L131" s="5"/>
      <c r="M131" s="3" t="str">
        <f aca="false">IF(F131="","",F131-H131)</f>
        <v/>
      </c>
      <c r="N131" s="5"/>
      <c r="O131" s="5"/>
      <c r="P131" s="2"/>
      <c r="Q131" s="5"/>
      <c r="R131" s="3"/>
      <c r="S131" s="5"/>
      <c r="T131" s="5"/>
      <c r="U131" s="3"/>
      <c r="V131" s="3" t="n">
        <f aca="false">(IF(AND(K131&lt;&gt;"Not Invoiced",H131&lt;&gt;""),H131,0))+(IF(AND(P131&lt;&gt;"Not Invoiced",M131&lt;&gt;""),M131,0))</f>
        <v>0</v>
      </c>
      <c r="W131" s="3" t="n">
        <f aca="false">(IF(K131="Paid",H131,0))+(IF(P131="Paid",M131,0))+(IF(U131="Active",R131,0))</f>
        <v>0</v>
      </c>
      <c r="X131" s="3" t="n">
        <f aca="false">IF(V131="","",V131-W131)</f>
        <v>0</v>
      </c>
      <c r="Y131" s="2"/>
      <c r="Z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3"/>
      <c r="G132" s="4"/>
      <c r="H132" s="3" t="str">
        <f aca="false">IF(OR(F132="",G132=""),"",F132*G132)</f>
        <v/>
      </c>
      <c r="I132" s="5"/>
      <c r="J132" s="5"/>
      <c r="K132" s="2"/>
      <c r="L132" s="5"/>
      <c r="M132" s="3" t="str">
        <f aca="false">IF(F132="","",F132-H132)</f>
        <v/>
      </c>
      <c r="N132" s="5"/>
      <c r="O132" s="5"/>
      <c r="P132" s="2"/>
      <c r="Q132" s="5"/>
      <c r="R132" s="3"/>
      <c r="S132" s="5"/>
      <c r="T132" s="5"/>
      <c r="U132" s="3"/>
      <c r="V132" s="3" t="n">
        <f aca="false">(IF(AND(K132&lt;&gt;"Not Invoiced",H132&lt;&gt;""),H132,0))+(IF(AND(P132&lt;&gt;"Not Invoiced",M132&lt;&gt;""),M132,0))</f>
        <v>0</v>
      </c>
      <c r="W132" s="3" t="n">
        <f aca="false">(IF(K132="Paid",H132,0))+(IF(P132="Paid",M132,0))+(IF(U132="Active",R132,0))</f>
        <v>0</v>
      </c>
      <c r="X132" s="3" t="n">
        <f aca="false">IF(V132="","",V132-W132)</f>
        <v>0</v>
      </c>
      <c r="Y132" s="2"/>
      <c r="Z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3"/>
      <c r="G133" s="4"/>
      <c r="H133" s="3" t="str">
        <f aca="false">IF(OR(F133="",G133=""),"",F133*G133)</f>
        <v/>
      </c>
      <c r="I133" s="5"/>
      <c r="J133" s="5"/>
      <c r="K133" s="2"/>
      <c r="L133" s="5"/>
      <c r="M133" s="3" t="str">
        <f aca="false">IF(F133="","",F133-H133)</f>
        <v/>
      </c>
      <c r="N133" s="5"/>
      <c r="O133" s="5"/>
      <c r="P133" s="2"/>
      <c r="Q133" s="5"/>
      <c r="R133" s="3"/>
      <c r="S133" s="5"/>
      <c r="T133" s="5"/>
      <c r="U133" s="3"/>
      <c r="V133" s="3" t="n">
        <f aca="false">(IF(AND(K133&lt;&gt;"Not Invoiced",H133&lt;&gt;""),H133,0))+(IF(AND(P133&lt;&gt;"Not Invoiced",M133&lt;&gt;""),M133,0))</f>
        <v>0</v>
      </c>
      <c r="W133" s="3" t="n">
        <f aca="false">(IF(K133="Paid",H133,0))+(IF(P133="Paid",M133,0))+(IF(U133="Active",R133,0))</f>
        <v>0</v>
      </c>
      <c r="X133" s="3" t="n">
        <f aca="false">IF(V133="","",V133-W133)</f>
        <v>0</v>
      </c>
      <c r="Y133" s="2"/>
      <c r="Z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3"/>
      <c r="G134" s="4"/>
      <c r="H134" s="3" t="str">
        <f aca="false">IF(OR(F134="",G134=""),"",F134*G134)</f>
        <v/>
      </c>
      <c r="I134" s="5"/>
      <c r="J134" s="5"/>
      <c r="K134" s="2"/>
      <c r="L134" s="5"/>
      <c r="M134" s="3" t="str">
        <f aca="false">IF(F134="","",F134-H134)</f>
        <v/>
      </c>
      <c r="N134" s="5"/>
      <c r="O134" s="5"/>
      <c r="P134" s="2"/>
      <c r="Q134" s="5"/>
      <c r="R134" s="3"/>
      <c r="S134" s="5"/>
      <c r="T134" s="5"/>
      <c r="U134" s="3"/>
      <c r="V134" s="3" t="n">
        <f aca="false">(IF(AND(K134&lt;&gt;"Not Invoiced",H134&lt;&gt;""),H134,0))+(IF(AND(P134&lt;&gt;"Not Invoiced",M134&lt;&gt;""),M134,0))</f>
        <v>0</v>
      </c>
      <c r="W134" s="3" t="n">
        <f aca="false">(IF(K134="Paid",H134,0))+(IF(P134="Paid",M134,0))+(IF(U134="Active",R134,0))</f>
        <v>0</v>
      </c>
      <c r="X134" s="3" t="n">
        <f aca="false">IF(V134="","",V134-W134)</f>
        <v>0</v>
      </c>
      <c r="Y134" s="2"/>
      <c r="Z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3"/>
      <c r="G135" s="4"/>
      <c r="H135" s="3" t="str">
        <f aca="false">IF(OR(F135="",G135=""),"",F135*G135)</f>
        <v/>
      </c>
      <c r="I135" s="5"/>
      <c r="J135" s="5"/>
      <c r="K135" s="2"/>
      <c r="L135" s="5"/>
      <c r="M135" s="3" t="str">
        <f aca="false">IF(F135="","",F135-H135)</f>
        <v/>
      </c>
      <c r="N135" s="5"/>
      <c r="O135" s="5"/>
      <c r="P135" s="2"/>
      <c r="Q135" s="5"/>
      <c r="R135" s="3"/>
      <c r="S135" s="5"/>
      <c r="T135" s="5"/>
      <c r="U135" s="3"/>
      <c r="V135" s="3" t="n">
        <f aca="false">(IF(AND(K135&lt;&gt;"Not Invoiced",H135&lt;&gt;""),H135,0))+(IF(AND(P135&lt;&gt;"Not Invoiced",M135&lt;&gt;""),M135,0))</f>
        <v>0</v>
      </c>
      <c r="W135" s="3" t="n">
        <f aca="false">(IF(K135="Paid",H135,0))+(IF(P135="Paid",M135,0))+(IF(U135="Active",R135,0))</f>
        <v>0</v>
      </c>
      <c r="X135" s="3" t="n">
        <f aca="false">IF(V135="","",V135-W135)</f>
        <v>0</v>
      </c>
      <c r="Y135" s="2"/>
      <c r="Z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3"/>
      <c r="G136" s="4"/>
      <c r="H136" s="3" t="str">
        <f aca="false">IF(OR(F136="",G136=""),"",F136*G136)</f>
        <v/>
      </c>
      <c r="I136" s="5"/>
      <c r="J136" s="5"/>
      <c r="K136" s="2"/>
      <c r="L136" s="5"/>
      <c r="M136" s="3" t="str">
        <f aca="false">IF(F136="","",F136-H136)</f>
        <v/>
      </c>
      <c r="N136" s="5"/>
      <c r="O136" s="5"/>
      <c r="P136" s="2"/>
      <c r="Q136" s="5"/>
      <c r="R136" s="3"/>
      <c r="S136" s="5"/>
      <c r="T136" s="5"/>
      <c r="U136" s="3"/>
      <c r="V136" s="3" t="n">
        <f aca="false">(IF(AND(K136&lt;&gt;"Not Invoiced",H136&lt;&gt;""),H136,0))+(IF(AND(P136&lt;&gt;"Not Invoiced",M136&lt;&gt;""),M136,0))</f>
        <v>0</v>
      </c>
      <c r="W136" s="3" t="n">
        <f aca="false">(IF(K136="Paid",H136,0))+(IF(P136="Paid",M136,0))+(IF(U136="Active",R136,0))</f>
        <v>0</v>
      </c>
      <c r="X136" s="3" t="n">
        <f aca="false">IF(V136="","",V136-W136)</f>
        <v>0</v>
      </c>
      <c r="Y136" s="2"/>
      <c r="Z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3"/>
      <c r="G137" s="4"/>
      <c r="H137" s="3" t="str">
        <f aca="false">IF(OR(F137="",G137=""),"",F137*G137)</f>
        <v/>
      </c>
      <c r="I137" s="5"/>
      <c r="J137" s="5"/>
      <c r="K137" s="2"/>
      <c r="L137" s="5"/>
      <c r="M137" s="3" t="str">
        <f aca="false">IF(F137="","",F137-H137)</f>
        <v/>
      </c>
      <c r="N137" s="5"/>
      <c r="O137" s="5"/>
      <c r="P137" s="2"/>
      <c r="Q137" s="5"/>
      <c r="R137" s="3"/>
      <c r="S137" s="5"/>
      <c r="T137" s="5"/>
      <c r="U137" s="3"/>
      <c r="V137" s="3" t="n">
        <f aca="false">(IF(AND(K137&lt;&gt;"Not Invoiced",H137&lt;&gt;""),H137,0))+(IF(AND(P137&lt;&gt;"Not Invoiced",M137&lt;&gt;""),M137,0))</f>
        <v>0</v>
      </c>
      <c r="W137" s="3" t="n">
        <f aca="false">(IF(K137="Paid",H137,0))+(IF(P137="Paid",M137,0))+(IF(U137="Active",R137,0))</f>
        <v>0</v>
      </c>
      <c r="X137" s="3" t="n">
        <f aca="false">IF(V137="","",V137-W137)</f>
        <v>0</v>
      </c>
      <c r="Y137" s="2"/>
      <c r="Z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3"/>
      <c r="G138" s="4"/>
      <c r="H138" s="3" t="str">
        <f aca="false">IF(OR(F138="",G138=""),"",F138*G138)</f>
        <v/>
      </c>
      <c r="I138" s="5"/>
      <c r="J138" s="5"/>
      <c r="K138" s="2"/>
      <c r="L138" s="5"/>
      <c r="M138" s="3" t="str">
        <f aca="false">IF(F138="","",F138-H138)</f>
        <v/>
      </c>
      <c r="N138" s="5"/>
      <c r="O138" s="5"/>
      <c r="P138" s="2"/>
      <c r="Q138" s="5"/>
      <c r="R138" s="3"/>
      <c r="S138" s="5"/>
      <c r="T138" s="5"/>
      <c r="U138" s="3"/>
      <c r="V138" s="3" t="n">
        <f aca="false">(IF(AND(K138&lt;&gt;"Not Invoiced",H138&lt;&gt;""),H138,0))+(IF(AND(P138&lt;&gt;"Not Invoiced",M138&lt;&gt;""),M138,0))</f>
        <v>0</v>
      </c>
      <c r="W138" s="3" t="n">
        <f aca="false">(IF(K138="Paid",H138,0))+(IF(P138="Paid",M138,0))+(IF(U138="Active",R138,0))</f>
        <v>0</v>
      </c>
      <c r="X138" s="3" t="n">
        <f aca="false">IF(V138="","",V138-W138)</f>
        <v>0</v>
      </c>
      <c r="Y138" s="2"/>
      <c r="Z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3"/>
      <c r="G139" s="4"/>
      <c r="H139" s="3" t="str">
        <f aca="false">IF(OR(F139="",G139=""),"",F139*G139)</f>
        <v/>
      </c>
      <c r="I139" s="5"/>
      <c r="J139" s="5"/>
      <c r="K139" s="2"/>
      <c r="L139" s="5"/>
      <c r="M139" s="3" t="str">
        <f aca="false">IF(F139="","",F139-H139)</f>
        <v/>
      </c>
      <c r="N139" s="5"/>
      <c r="O139" s="5"/>
      <c r="P139" s="2"/>
      <c r="Q139" s="5"/>
      <c r="R139" s="3"/>
      <c r="S139" s="5"/>
      <c r="T139" s="5"/>
      <c r="U139" s="3"/>
      <c r="V139" s="3" t="n">
        <f aca="false">(IF(AND(K139&lt;&gt;"Not Invoiced",H139&lt;&gt;""),H139,0))+(IF(AND(P139&lt;&gt;"Not Invoiced",M139&lt;&gt;""),M139,0))</f>
        <v>0</v>
      </c>
      <c r="W139" s="3" t="n">
        <f aca="false">(IF(K139="Paid",H139,0))+(IF(P139="Paid",M139,0))+(IF(U139="Active",R139,0))</f>
        <v>0</v>
      </c>
      <c r="X139" s="3" t="n">
        <f aca="false">IF(V139="","",V139-W139)</f>
        <v>0</v>
      </c>
      <c r="Y139" s="2"/>
      <c r="Z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3"/>
      <c r="G140" s="4"/>
      <c r="H140" s="3" t="str">
        <f aca="false">IF(OR(F140="",G140=""),"",F140*G140)</f>
        <v/>
      </c>
      <c r="I140" s="5"/>
      <c r="J140" s="5"/>
      <c r="K140" s="2"/>
      <c r="L140" s="5"/>
      <c r="M140" s="3" t="str">
        <f aca="false">IF(F140="","",F140-H140)</f>
        <v/>
      </c>
      <c r="N140" s="5"/>
      <c r="O140" s="5"/>
      <c r="P140" s="2"/>
      <c r="Q140" s="5"/>
      <c r="R140" s="3"/>
      <c r="S140" s="5"/>
      <c r="T140" s="5"/>
      <c r="U140" s="3"/>
      <c r="V140" s="3" t="n">
        <f aca="false">(IF(AND(K140&lt;&gt;"Not Invoiced",H140&lt;&gt;""),H140,0))+(IF(AND(P140&lt;&gt;"Not Invoiced",M140&lt;&gt;""),M140,0))</f>
        <v>0</v>
      </c>
      <c r="W140" s="3" t="n">
        <f aca="false">(IF(K140="Paid",H140,0))+(IF(P140="Paid",M140,0))+(IF(U140="Active",R140,0))</f>
        <v>0</v>
      </c>
      <c r="X140" s="3" t="n">
        <f aca="false">IF(V140="","",V140-W140)</f>
        <v>0</v>
      </c>
      <c r="Y140" s="2"/>
      <c r="Z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3"/>
      <c r="G141" s="4"/>
      <c r="H141" s="3" t="str">
        <f aca="false">IF(OR(F141="",G141=""),"",F141*G141)</f>
        <v/>
      </c>
      <c r="I141" s="5"/>
      <c r="J141" s="5"/>
      <c r="K141" s="2"/>
      <c r="L141" s="5"/>
      <c r="M141" s="3" t="str">
        <f aca="false">IF(F141="","",F141-H141)</f>
        <v/>
      </c>
      <c r="N141" s="5"/>
      <c r="O141" s="5"/>
      <c r="P141" s="2"/>
      <c r="Q141" s="5"/>
      <c r="R141" s="3"/>
      <c r="S141" s="5"/>
      <c r="T141" s="5"/>
      <c r="U141" s="3"/>
      <c r="V141" s="3" t="n">
        <f aca="false">(IF(AND(K141&lt;&gt;"Not Invoiced",H141&lt;&gt;""),H141,0))+(IF(AND(P141&lt;&gt;"Not Invoiced",M141&lt;&gt;""),M141,0))</f>
        <v>0</v>
      </c>
      <c r="W141" s="3" t="n">
        <f aca="false">(IF(K141="Paid",H141,0))+(IF(P141="Paid",M141,0))+(IF(U141="Active",R141,0))</f>
        <v>0</v>
      </c>
      <c r="X141" s="3" t="n">
        <f aca="false">IF(V141="","",V141-W141)</f>
        <v>0</v>
      </c>
      <c r="Y141" s="2"/>
      <c r="Z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3"/>
      <c r="G142" s="4"/>
      <c r="H142" s="3" t="str">
        <f aca="false">IF(OR(F142="",G142=""),"",F142*G142)</f>
        <v/>
      </c>
      <c r="I142" s="5"/>
      <c r="J142" s="5"/>
      <c r="K142" s="2"/>
      <c r="L142" s="5"/>
      <c r="M142" s="3" t="str">
        <f aca="false">IF(F142="","",F142-H142)</f>
        <v/>
      </c>
      <c r="N142" s="5"/>
      <c r="O142" s="5"/>
      <c r="P142" s="2"/>
      <c r="Q142" s="5"/>
      <c r="R142" s="3"/>
      <c r="S142" s="5"/>
      <c r="T142" s="5"/>
      <c r="U142" s="3"/>
      <c r="V142" s="3" t="n">
        <f aca="false">(IF(AND(K142&lt;&gt;"Not Invoiced",H142&lt;&gt;""),H142,0))+(IF(AND(P142&lt;&gt;"Not Invoiced",M142&lt;&gt;""),M142,0))</f>
        <v>0</v>
      </c>
      <c r="W142" s="3" t="n">
        <f aca="false">(IF(K142="Paid",H142,0))+(IF(P142="Paid",M142,0))+(IF(U142="Active",R142,0))</f>
        <v>0</v>
      </c>
      <c r="X142" s="3" t="n">
        <f aca="false">IF(V142="","",V142-W142)</f>
        <v>0</v>
      </c>
      <c r="Y142" s="2"/>
      <c r="Z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3"/>
      <c r="G143" s="4"/>
      <c r="H143" s="3" t="str">
        <f aca="false">IF(OR(F143="",G143=""),"",F143*G143)</f>
        <v/>
      </c>
      <c r="I143" s="5"/>
      <c r="J143" s="5"/>
      <c r="K143" s="2"/>
      <c r="L143" s="5"/>
      <c r="M143" s="3" t="str">
        <f aca="false">IF(F143="","",F143-H143)</f>
        <v/>
      </c>
      <c r="N143" s="5"/>
      <c r="O143" s="5"/>
      <c r="P143" s="2"/>
      <c r="Q143" s="5"/>
      <c r="R143" s="3"/>
      <c r="S143" s="5"/>
      <c r="T143" s="5"/>
      <c r="U143" s="3"/>
      <c r="V143" s="3" t="n">
        <f aca="false">(IF(AND(K143&lt;&gt;"Not Invoiced",H143&lt;&gt;""),H143,0))+(IF(AND(P143&lt;&gt;"Not Invoiced",M143&lt;&gt;""),M143,0))</f>
        <v>0</v>
      </c>
      <c r="W143" s="3" t="n">
        <f aca="false">(IF(K143="Paid",H143,0))+(IF(P143="Paid",M143,0))+(IF(U143="Active",R143,0))</f>
        <v>0</v>
      </c>
      <c r="X143" s="3" t="n">
        <f aca="false">IF(V143="","",V143-W143)</f>
        <v>0</v>
      </c>
      <c r="Y143" s="2"/>
      <c r="Z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3"/>
      <c r="G144" s="4"/>
      <c r="H144" s="3" t="str">
        <f aca="false">IF(OR(F144="",G144=""),"",F144*G144)</f>
        <v/>
      </c>
      <c r="I144" s="5"/>
      <c r="J144" s="5"/>
      <c r="K144" s="2"/>
      <c r="L144" s="5"/>
      <c r="M144" s="3" t="str">
        <f aca="false">IF(F144="","",F144-H144)</f>
        <v/>
      </c>
      <c r="N144" s="5"/>
      <c r="O144" s="5"/>
      <c r="P144" s="2"/>
      <c r="Q144" s="5"/>
      <c r="R144" s="3"/>
      <c r="S144" s="5"/>
      <c r="T144" s="5"/>
      <c r="U144" s="3"/>
      <c r="V144" s="3" t="n">
        <f aca="false">(IF(AND(K144&lt;&gt;"Not Invoiced",H144&lt;&gt;""),H144,0))+(IF(AND(P144&lt;&gt;"Not Invoiced",M144&lt;&gt;""),M144,0))</f>
        <v>0</v>
      </c>
      <c r="W144" s="3" t="n">
        <f aca="false">(IF(K144="Paid",H144,0))+(IF(P144="Paid",M144,0))+(IF(U144="Active",R144,0))</f>
        <v>0</v>
      </c>
      <c r="X144" s="3" t="n">
        <f aca="false">IF(V144="","",V144-W144)</f>
        <v>0</v>
      </c>
      <c r="Y144" s="2"/>
      <c r="Z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3"/>
      <c r="G145" s="4"/>
      <c r="H145" s="3" t="str">
        <f aca="false">IF(OR(F145="",G145=""),"",F145*G145)</f>
        <v/>
      </c>
      <c r="I145" s="5"/>
      <c r="J145" s="5"/>
      <c r="K145" s="2"/>
      <c r="L145" s="5"/>
      <c r="M145" s="3" t="str">
        <f aca="false">IF(F145="","",F145-H145)</f>
        <v/>
      </c>
      <c r="N145" s="5"/>
      <c r="O145" s="5"/>
      <c r="P145" s="2"/>
      <c r="Q145" s="5"/>
      <c r="R145" s="3"/>
      <c r="S145" s="5"/>
      <c r="T145" s="5"/>
      <c r="U145" s="3"/>
      <c r="V145" s="3" t="n">
        <f aca="false">(IF(AND(K145&lt;&gt;"Not Invoiced",H145&lt;&gt;""),H145,0))+(IF(AND(P145&lt;&gt;"Not Invoiced",M145&lt;&gt;""),M145,0))</f>
        <v>0</v>
      </c>
      <c r="W145" s="3" t="n">
        <f aca="false">(IF(K145="Paid",H145,0))+(IF(P145="Paid",M145,0))+(IF(U145="Active",R145,0))</f>
        <v>0</v>
      </c>
      <c r="X145" s="3" t="n">
        <f aca="false">IF(V145="","",V145-W145)</f>
        <v>0</v>
      </c>
      <c r="Y145" s="2"/>
      <c r="Z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3"/>
      <c r="G146" s="4"/>
      <c r="H146" s="3" t="str">
        <f aca="false">IF(OR(F146="",G146=""),"",F146*G146)</f>
        <v/>
      </c>
      <c r="I146" s="5"/>
      <c r="J146" s="5"/>
      <c r="K146" s="2"/>
      <c r="L146" s="5"/>
      <c r="M146" s="3" t="str">
        <f aca="false">IF(F146="","",F146-H146)</f>
        <v/>
      </c>
      <c r="N146" s="5"/>
      <c r="O146" s="5"/>
      <c r="P146" s="2"/>
      <c r="Q146" s="5"/>
      <c r="R146" s="3"/>
      <c r="S146" s="5"/>
      <c r="T146" s="5"/>
      <c r="U146" s="3"/>
      <c r="V146" s="3" t="n">
        <f aca="false">(IF(AND(K146&lt;&gt;"Not Invoiced",H146&lt;&gt;""),H146,0))+(IF(AND(P146&lt;&gt;"Not Invoiced",M146&lt;&gt;""),M146,0))</f>
        <v>0</v>
      </c>
      <c r="W146" s="3" t="n">
        <f aca="false">(IF(K146="Paid",H146,0))+(IF(P146="Paid",M146,0))+(IF(U146="Active",R146,0))</f>
        <v>0</v>
      </c>
      <c r="X146" s="3" t="n">
        <f aca="false">IF(V146="","",V146-W146)</f>
        <v>0</v>
      </c>
      <c r="Y146" s="2"/>
      <c r="Z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3"/>
      <c r="G147" s="4"/>
      <c r="H147" s="3" t="str">
        <f aca="false">IF(OR(F147="",G147=""),"",F147*G147)</f>
        <v/>
      </c>
      <c r="I147" s="5"/>
      <c r="J147" s="5"/>
      <c r="K147" s="2"/>
      <c r="L147" s="5"/>
      <c r="M147" s="3" t="str">
        <f aca="false">IF(F147="","",F147-H147)</f>
        <v/>
      </c>
      <c r="N147" s="5"/>
      <c r="O147" s="5"/>
      <c r="P147" s="2"/>
      <c r="Q147" s="5"/>
      <c r="R147" s="3"/>
      <c r="S147" s="5"/>
      <c r="T147" s="5"/>
      <c r="U147" s="3"/>
      <c r="V147" s="3" t="n">
        <f aca="false">(IF(AND(K147&lt;&gt;"Not Invoiced",H147&lt;&gt;""),H147,0))+(IF(AND(P147&lt;&gt;"Not Invoiced",M147&lt;&gt;""),M147,0))</f>
        <v>0</v>
      </c>
      <c r="W147" s="3" t="n">
        <f aca="false">(IF(K147="Paid",H147,0))+(IF(P147="Paid",M147,0))+(IF(U147="Active",R147,0))</f>
        <v>0</v>
      </c>
      <c r="X147" s="3" t="n">
        <f aca="false">IF(V147="","",V147-W147)</f>
        <v>0</v>
      </c>
      <c r="Y147" s="2"/>
      <c r="Z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3"/>
      <c r="G148" s="4"/>
      <c r="H148" s="3" t="str">
        <f aca="false">IF(OR(F148="",G148=""),"",F148*G148)</f>
        <v/>
      </c>
      <c r="I148" s="5"/>
      <c r="J148" s="5"/>
      <c r="K148" s="2"/>
      <c r="L148" s="5"/>
      <c r="M148" s="3" t="str">
        <f aca="false">IF(F148="","",F148-H148)</f>
        <v/>
      </c>
      <c r="N148" s="5"/>
      <c r="O148" s="5"/>
      <c r="P148" s="2"/>
      <c r="Q148" s="5"/>
      <c r="R148" s="3"/>
      <c r="S148" s="5"/>
      <c r="T148" s="5"/>
      <c r="U148" s="3"/>
      <c r="V148" s="3" t="n">
        <f aca="false">(IF(AND(K148&lt;&gt;"Not Invoiced",H148&lt;&gt;""),H148,0))+(IF(AND(P148&lt;&gt;"Not Invoiced",M148&lt;&gt;""),M148,0))</f>
        <v>0</v>
      </c>
      <c r="W148" s="3" t="n">
        <f aca="false">(IF(K148="Paid",H148,0))+(IF(P148="Paid",M148,0))+(IF(U148="Active",R148,0))</f>
        <v>0</v>
      </c>
      <c r="X148" s="3" t="n">
        <f aca="false">IF(V148="","",V148-W148)</f>
        <v>0</v>
      </c>
      <c r="Y148" s="2"/>
      <c r="Z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3"/>
      <c r="G149" s="4"/>
      <c r="H149" s="3" t="str">
        <f aca="false">IF(OR(F149="",G149=""),"",F149*G149)</f>
        <v/>
      </c>
      <c r="I149" s="5"/>
      <c r="J149" s="5"/>
      <c r="K149" s="2"/>
      <c r="L149" s="5"/>
      <c r="M149" s="3" t="str">
        <f aca="false">IF(F149="","",F149-H149)</f>
        <v/>
      </c>
      <c r="N149" s="5"/>
      <c r="O149" s="5"/>
      <c r="P149" s="2"/>
      <c r="Q149" s="5"/>
      <c r="R149" s="3"/>
      <c r="S149" s="5"/>
      <c r="T149" s="5"/>
      <c r="U149" s="3"/>
      <c r="V149" s="3" t="n">
        <f aca="false">(IF(AND(K149&lt;&gt;"Not Invoiced",H149&lt;&gt;""),H149,0))+(IF(AND(P149&lt;&gt;"Not Invoiced",M149&lt;&gt;""),M149,0))</f>
        <v>0</v>
      </c>
      <c r="W149" s="3" t="n">
        <f aca="false">(IF(K149="Paid",H149,0))+(IF(P149="Paid",M149,0))+(IF(U149="Active",R149,0))</f>
        <v>0</v>
      </c>
      <c r="X149" s="3" t="n">
        <f aca="false">IF(V149="","",V149-W149)</f>
        <v>0</v>
      </c>
      <c r="Y149" s="2"/>
      <c r="Z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3"/>
      <c r="G150" s="4"/>
      <c r="H150" s="3" t="str">
        <f aca="false">IF(OR(F150="",G150=""),"",F150*G150)</f>
        <v/>
      </c>
      <c r="I150" s="5"/>
      <c r="J150" s="5"/>
      <c r="K150" s="2"/>
      <c r="L150" s="5"/>
      <c r="M150" s="3" t="str">
        <f aca="false">IF(F150="","",F150-H150)</f>
        <v/>
      </c>
      <c r="N150" s="5"/>
      <c r="O150" s="5"/>
      <c r="P150" s="2"/>
      <c r="Q150" s="5"/>
      <c r="R150" s="3"/>
      <c r="S150" s="5"/>
      <c r="T150" s="5"/>
      <c r="U150" s="3"/>
      <c r="V150" s="3" t="n">
        <f aca="false">(IF(AND(K150&lt;&gt;"Not Invoiced",H150&lt;&gt;""),H150,0))+(IF(AND(P150&lt;&gt;"Not Invoiced",M150&lt;&gt;""),M150,0))</f>
        <v>0</v>
      </c>
      <c r="W150" s="3" t="n">
        <f aca="false">(IF(K150="Paid",H150,0))+(IF(P150="Paid",M150,0))+(IF(U150="Active",R150,0))</f>
        <v>0</v>
      </c>
      <c r="X150" s="3" t="n">
        <f aca="false">IF(V150="","",V150-W150)</f>
        <v>0</v>
      </c>
      <c r="Y150" s="2"/>
      <c r="Z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3"/>
      <c r="G151" s="4"/>
      <c r="H151" s="3" t="str">
        <f aca="false">IF(OR(F151="",G151=""),"",F151*G151)</f>
        <v/>
      </c>
      <c r="I151" s="5"/>
      <c r="J151" s="5"/>
      <c r="K151" s="2"/>
      <c r="L151" s="5"/>
      <c r="M151" s="3" t="str">
        <f aca="false">IF(F151="","",F151-H151)</f>
        <v/>
      </c>
      <c r="N151" s="5"/>
      <c r="O151" s="5"/>
      <c r="P151" s="2"/>
      <c r="Q151" s="5"/>
      <c r="R151" s="3"/>
      <c r="S151" s="5"/>
      <c r="T151" s="5"/>
      <c r="U151" s="3"/>
      <c r="V151" s="3" t="n">
        <f aca="false">(IF(AND(K151&lt;&gt;"Not Invoiced",H151&lt;&gt;""),H151,0))+(IF(AND(P151&lt;&gt;"Not Invoiced",M151&lt;&gt;""),M151,0))</f>
        <v>0</v>
      </c>
      <c r="W151" s="3" t="n">
        <f aca="false">(IF(K151="Paid",H151,0))+(IF(P151="Paid",M151,0))+(IF(U151="Active",R151,0))</f>
        <v>0</v>
      </c>
      <c r="X151" s="3" t="n">
        <f aca="false">IF(V151="","",V151-W151)</f>
        <v>0</v>
      </c>
      <c r="Y151" s="2"/>
      <c r="Z151" s="2"/>
    </row>
  </sheetData>
  <autoFilter ref="A1:Z151"/>
  <conditionalFormatting sqref="K2:K151">
    <cfRule type="cellIs" priority="2" operator="equal" aboveAverage="0" equalAverage="0" bottom="0" percent="0" rank="0" text="" dxfId="8">
      <formula>"Paid"</formula>
    </cfRule>
    <cfRule type="cellIs" priority="3" operator="equal" aboveAverage="0" equalAverage="0" bottom="0" percent="0" rank="0" text="" dxfId="9">
      <formula>"Invoiced"</formula>
    </cfRule>
    <cfRule type="cellIs" priority="4" operator="equal" aboveAverage="0" equalAverage="0" bottom="0" percent="0" rank="0" text="" dxfId="10">
      <formula>"Overdue"</formula>
    </cfRule>
    <cfRule type="cellIs" priority="5" operator="equal" aboveAverage="0" equalAverage="0" bottom="0" percent="0" rank="0" text="" dxfId="11">
      <formula>"Not Invoiced"</formula>
    </cfRule>
    <cfRule type="cellIs" priority="6" operator="equal" aboveAverage="0" equalAverage="0" bottom="0" percent="0" rank="0" text="" dxfId="12">
      <formula>"Waived"</formula>
    </cfRule>
  </conditionalFormatting>
  <conditionalFormatting sqref="P2:P151">
    <cfRule type="cellIs" priority="7" operator="equal" aboveAverage="0" equalAverage="0" bottom="0" percent="0" rank="0" text="" dxfId="8">
      <formula>"Paid"</formula>
    </cfRule>
    <cfRule type="cellIs" priority="8" operator="equal" aboveAverage="0" equalAverage="0" bottom="0" percent="0" rank="0" text="" dxfId="9">
      <formula>"Invoiced"</formula>
    </cfRule>
    <cfRule type="cellIs" priority="9" operator="equal" aboveAverage="0" equalAverage="0" bottom="0" percent="0" rank="0" text="" dxfId="10">
      <formula>"Overdue"</formula>
    </cfRule>
    <cfRule type="cellIs" priority="10" operator="equal" aboveAverage="0" equalAverage="0" bottom="0" percent="0" rank="0" text="" dxfId="11">
      <formula>"Not Invoiced"</formula>
    </cfRule>
    <cfRule type="cellIs" priority="11" operator="equal" aboveAverage="0" equalAverage="0" bottom="0" percent="0" rank="0" text="" dxfId="12">
      <formula>"Waived"</formula>
    </cfRule>
  </conditionalFormatting>
  <conditionalFormatting sqref="C2:C151">
    <cfRule type="cellIs" priority="12" operator="equal" aboveAverage="0" equalAverage="0" bottom="0" percent="0" rank="0" text="" dxfId="13">
      <formula>"Web Development"</formula>
    </cfRule>
    <cfRule type="cellIs" priority="13" operator="equal" aboveAverage="0" equalAverage="0" bottom="0" percent="0" rank="0" text="" dxfId="14">
      <formula>"Cinematic Videos"</formula>
    </cfRule>
  </conditionalFormatting>
  <dataValidations count="5">
    <dataValidation allowBlank="true" errorStyle="stop" operator="between" showDropDown="false" showErrorMessage="false" showInputMessage="false" sqref="C2:C151" type="list">
      <formula1>PVentureList</formula1>
      <formula2>0</formula2>
    </dataValidation>
    <dataValidation allowBlank="true" errorStyle="stop" operator="between" showDropDown="false" showErrorMessage="false" showInputMessage="false" sqref="E2:E151" type="list">
      <formula1>PProjectTypeList</formula1>
      <formula2>0</formula2>
    </dataValidation>
    <dataValidation allowBlank="true" errorStyle="stop" operator="between" showDropDown="false" showErrorMessage="false" showInputMessage="false" sqref="K2:K151" type="list">
      <formula1>PPaymentStatusList</formula1>
      <formula2>0</formula2>
    </dataValidation>
    <dataValidation allowBlank="true" errorStyle="stop" operator="between" showDropDown="false" showErrorMessage="false" showInputMessage="false" sqref="P2:P151" type="list">
      <formula1>PPaymentStatusList</formula1>
      <formula2>0</formula2>
    </dataValidation>
    <dataValidation allowBlank="true" errorStyle="stop" operator="between" showDropDown="false" showErrorMessage="false" showInputMessage="false" sqref="U2:U151" type="list">
      <formula1>PRecurringStatusList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6" t="s">
        <v>43</v>
      </c>
      <c r="B1" s="6"/>
      <c r="C1" s="6"/>
    </row>
    <row r="3" customFormat="false" ht="15" hidden="false" customHeight="false" outlineLevel="0" collapsed="false">
      <c r="A3" s="7" t="s">
        <v>44</v>
      </c>
      <c r="B3" s="7" t="s">
        <v>28</v>
      </c>
      <c r="C3" s="7" t="s">
        <v>38</v>
      </c>
    </row>
    <row r="4" customFormat="false" ht="15" hidden="false" customHeight="false" outlineLevel="0" collapsed="false">
      <c r="A4" s="2" t="s">
        <v>21</v>
      </c>
      <c r="B4" s="8" t="n">
        <f aca="false">SUMIFS(Payments!$V$2:$V$151,Payments!$C$2:$C$151,"Web Development")</f>
        <v>600</v>
      </c>
      <c r="C4" s="8" t="n">
        <f aca="false">SUMIFS(Payments!$V$2:$V$151,Payments!$C$2:$C$151,"Cinematic Videos")</f>
        <v>900</v>
      </c>
    </row>
    <row r="5" customFormat="false" ht="15" hidden="false" customHeight="false" outlineLevel="0" collapsed="false">
      <c r="A5" s="2" t="s">
        <v>22</v>
      </c>
      <c r="B5" s="8" t="n">
        <f aca="false">SUMIFS(Payments!$W$2:$W$151,Payments!$C$2:$C$151,"Web Development")</f>
        <v>600</v>
      </c>
      <c r="C5" s="8" t="n">
        <f aca="false">SUMIFS(Payments!$W$2:$W$151,Payments!$C$2:$C$151,"Cinematic Videos")</f>
        <v>0</v>
      </c>
    </row>
    <row r="6" customFormat="false" ht="15" hidden="false" customHeight="false" outlineLevel="0" collapsed="false">
      <c r="A6" s="2" t="s">
        <v>23</v>
      </c>
      <c r="B6" s="8" t="n">
        <f aca="false">SUMIFS(Payments!$X$2:$X$151,Payments!$C$2:$C$151,"Web Development")</f>
        <v>0</v>
      </c>
      <c r="C6" s="8" t="n">
        <f aca="false">SUMIFS(Payments!$X$2:$X$151,Payments!$C$2:$C$151,"Cinematic Videos")</f>
        <v>900</v>
      </c>
    </row>
    <row r="7" customFormat="false" ht="15" hidden="false" customHeight="false" outlineLevel="0" collapsed="false">
      <c r="A7" s="2" t="s">
        <v>45</v>
      </c>
      <c r="B7" s="8" t="n">
        <f aca="false">SUMIFS(Payments!$R$2:$R$151,Payments!$C$2:$C$151,"Web Development",Payments!$U$2:$U$151,"Active")</f>
        <v>0</v>
      </c>
      <c r="C7" s="8" t="n">
        <f aca="false">SUMIFS(Payments!$R$2:$R$151,Payments!$C$2:$C$151,"Cinematic Videos",Payments!$U$2:$U$151,"Active")</f>
        <v>0</v>
      </c>
    </row>
    <row r="8" customFormat="false" ht="15" hidden="false" customHeight="false" outlineLevel="0" collapsed="false">
      <c r="A8" s="2" t="s">
        <v>46</v>
      </c>
      <c r="B8" s="9" t="n">
        <f aca="false">COUNTIFS(Payments!$K$2:$K$151,"Overdue",Payments!$C$2:$C$151,"Web Development")</f>
        <v>0</v>
      </c>
      <c r="C8" s="9" t="n">
        <f aca="false">COUNTIFS(Payments!$K$2:$K$151,"Overdue",Payments!$C$2:$C$151,"Cinematic Videos")</f>
        <v>0</v>
      </c>
    </row>
    <row r="9" customFormat="false" ht="15" hidden="false" customHeight="false" outlineLevel="0" collapsed="false">
      <c r="A9" s="2" t="s">
        <v>47</v>
      </c>
      <c r="B9" s="9" t="n">
        <f aca="false">COUNTIFS(Payments!$P$2:$P$151,"Overdue",Payments!$C$2:$C$151,"Web Development")</f>
        <v>0</v>
      </c>
      <c r="C9" s="9" t="n">
        <f aca="false">COUNTIFS(Payments!$P$2:$P$151,"Overdue",Payments!$C$2:$C$151,"Cinematic Videos")</f>
        <v>0</v>
      </c>
    </row>
    <row r="10" customFormat="false" ht="15" hidden="false" customHeight="false" outlineLevel="0" collapsed="false">
      <c r="A10" s="10" t="s">
        <v>48</v>
      </c>
      <c r="B10" s="11" t="n">
        <f aca="false">B4+C4</f>
        <v>1500</v>
      </c>
      <c r="C10" s="11"/>
    </row>
    <row r="11" customFormat="false" ht="15" hidden="false" customHeight="false" outlineLevel="0" collapsed="false">
      <c r="A11" s="10" t="s">
        <v>49</v>
      </c>
      <c r="B11" s="11" t="n">
        <f aca="false">B5+C5</f>
        <v>600</v>
      </c>
      <c r="C11" s="11"/>
    </row>
    <row r="13" customFormat="false" ht="15" hidden="false" customHeight="false" outlineLevel="0" collapsed="false">
      <c r="A13" s="12" t="s">
        <v>50</v>
      </c>
      <c r="B13" s="12"/>
      <c r="C13" s="12"/>
    </row>
  </sheetData>
  <mergeCells count="4">
    <mergeCell ref="A1:C1"/>
    <mergeCell ref="B10:C10"/>
    <mergeCell ref="B11:C1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2</v>
      </c>
      <c r="B1" s="10" t="s">
        <v>51</v>
      </c>
      <c r="C1" s="10" t="s">
        <v>52</v>
      </c>
      <c r="D1" s="10" t="s">
        <v>53</v>
      </c>
    </row>
    <row r="2" customFormat="false" ht="15" hidden="false" customHeight="false" outlineLevel="0" collapsed="false">
      <c r="A2" s="13" t="s">
        <v>28</v>
      </c>
      <c r="B2" s="13" t="s">
        <v>30</v>
      </c>
      <c r="C2" s="13" t="s">
        <v>32</v>
      </c>
      <c r="D2" s="13" t="s">
        <v>33</v>
      </c>
    </row>
    <row r="3" customFormat="false" ht="15" hidden="false" customHeight="false" outlineLevel="0" collapsed="false">
      <c r="A3" s="13" t="s">
        <v>38</v>
      </c>
      <c r="B3" s="13" t="s">
        <v>54</v>
      </c>
      <c r="C3" s="13" t="s">
        <v>41</v>
      </c>
      <c r="D3" s="13" t="s">
        <v>55</v>
      </c>
    </row>
    <row r="4" customFormat="false" ht="15" hidden="false" customHeight="false" outlineLevel="0" collapsed="false">
      <c r="B4" s="13" t="s">
        <v>56</v>
      </c>
      <c r="C4" s="13" t="s">
        <v>31</v>
      </c>
      <c r="D4" s="13" t="s">
        <v>57</v>
      </c>
    </row>
    <row r="5" customFormat="false" ht="15" hidden="false" customHeight="false" outlineLevel="0" collapsed="false">
      <c r="B5" s="13" t="s">
        <v>40</v>
      </c>
      <c r="C5" s="13" t="s">
        <v>58</v>
      </c>
      <c r="D5" s="13" t="s">
        <v>59</v>
      </c>
    </row>
    <row r="6" customFormat="false" ht="15" hidden="false" customHeight="false" outlineLevel="0" collapsed="false">
      <c r="B6" s="13" t="s">
        <v>60</v>
      </c>
      <c r="C6" s="13" t="s">
        <v>61</v>
      </c>
      <c r="D6" s="13" t="s">
        <v>58</v>
      </c>
    </row>
    <row r="7" customFormat="false" ht="15" hidden="false" customHeight="false" outlineLevel="0" collapsed="false">
      <c r="B7" s="1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2026-09-12T13:58:37Z</dcterms:created>
  <dc:creator>openpyxl</dc:creator>
  <dc:description/>
  <dc:language>en-US</dc:language>
  <cp:lastModifiedBy/>
  <dcterms:modified xsi:type="dcterms:W3CDTF">2026-09-12T13:58:37Z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